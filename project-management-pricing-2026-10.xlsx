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Tiers" sheetId="3" state="visible" r:id="rId5"/>
    <sheet name="Model" sheetId="4" state="visible" r:id="rId6"/>
    <sheet name="Grid" sheetId="5" state="visible" r:id="rId7"/>
    <sheet name="Compare" sheetId="6" state="visible" r:id="rId8"/>
    <sheet name="Bands" sheetId="7" state="visible" r:id="rId9"/>
    <sheet name="Add-ons" sheetId="8" state="visible" r:id="rId10"/>
    <sheet name="Thin set" sheetId="9" state="visible" r:id="rId11"/>
    <sheet name="Method"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<sst xmlns="http://schemas.openxmlformats.org/spreadsheetml/2006/main" count="1002" uniqueCount="264">
  <si>
    <t xml:space="preserve">Project management software pricing, October 2026</t>
  </si>
  <si>
    <t xml:space="preserve">A snapshot of what fifteen project management tools charge, and a model that works out which tier you actually land on once you say how big your team is and what it needs.</t>
  </si>
  <si>
    <t xml:space="preserve">HOW TO USE IT</t>
  </si>
  <si>
    <t xml:space="preserve">Open the Inputs sheet and change the cells in blue on a yellow background. Nothing else is meant to be edited. Every other number recalculates from those.</t>
  </si>
  <si>
    <t xml:space="preserve">WHAT EACH SHEET IS</t>
  </si>
  <si>
    <t xml:space="preserve">Inputs      the levers: team size, growth, billing cadence, and what the tool must do</t>
  </si>
  <si>
    <t xml:space="preserve">Model       every tier scored against your inputs, with the reason any tier is ruled out</t>
  </si>
  <si>
    <t xml:space="preserve">Grid        cost per month at six fixed team sizes, used by the comparison and the chart</t>
  </si>
  <si>
    <t xml:space="preserve">Compare     the cheapest qualifying tier per vendor at each team size, and the chart</t>
  </si>
  <si>
    <t xml:space="preserve">Tiers       the collected data, one row per vendor tier</t>
  </si>
  <si>
    <t xml:space="preserve">Bands       vendors whose per-seat price falls as the team grows</t>
  </si>
  <si>
    <t xml:space="preserve">Add-ons     capabilities sold separately rather than included in a tier</t>
  </si>
  <si>
    <t xml:space="preserve">Thin set    price visibility across the wider category, no prices collected</t>
  </si>
  <si>
    <t xml:space="preserve">Method      how the data was collected and what is wrong with it</t>
  </si>
  <si>
    <t xml:space="preserve">THE THREE THINGS TO KNOW BEFORE TRUSTING A NUMBER</t>
  </si>
  <si>
    <t xml:space="preserve">1. Prices were collected on 2 October 2026 from vendors' own pricing pages. Software pricing moves quarterly. This is a snapshot, not a feed.</t>
  </si>
  <si>
    <t xml:space="preserve">2. A capability the pricing page does not claim is treated as absent. That is the right default for a buyer and it understates vendors with vague pages.</t>
  </si>
  <si>
    <t xml:space="preserve">3. Two vendors do not price by seat at all. Basecamp charges a flat fee and TeamGantt charges by project, so a per-seat comparison does not describe them. They are in the model where it is meaningful and excluded where it is not.</t>
  </si>
  <si>
    <t xml:space="preserve">Inputs</t>
  </si>
  <si>
    <t xml:space="preserve">Edit the blue cells only. Everything else in the workbook follows from them.</t>
  </si>
  <si>
    <t xml:space="preserve">YOUR TEAM</t>
  </si>
  <si>
    <t xml:space="preserve">Seats today</t>
  </si>
  <si>
    <t xml:space="preserve">How many people need a paid seat now.</t>
  </si>
  <si>
    <t xml:space="preserve">Annual growth in seats</t>
  </si>
  <si>
    <t xml:space="preserve">Used to project seats over the horizon.</t>
  </si>
  <si>
    <t xml:space="preserve">Horizon, months</t>
  </si>
  <si>
    <t xml:space="preserve">Length of the commitment you are costing.</t>
  </si>
  <si>
    <t xml:space="preserve">Billing cadence</t>
  </si>
  <si>
    <t xml:space="preserve">annual</t>
  </si>
  <si>
    <t xml:space="preserve">annual or monthly. Annual is cheaper everywhere in this data, by 14% to 37%.</t>
  </si>
  <si>
    <t xml:space="preserve">WHAT THE TOOL MUST DO</t>
  </si>
  <si>
    <t xml:space="preserve">Require SAML single sign-on</t>
  </si>
  <si>
    <t xml:space="preserve">no</t>
  </si>
  <si>
    <t xml:space="preserve">yes or no. Set yes and watch how few tiers survive.</t>
  </si>
  <si>
    <t xml:space="preserve">Require an audit log</t>
  </si>
  <si>
    <t xml:space="preserve">yes or no.</t>
  </si>
  <si>
    <t xml:space="preserve">Require Gantt or timeline views</t>
  </si>
  <si>
    <t xml:space="preserve">Seats at the end of the horizon</t>
  </si>
  <si>
    <t xml:space="preserve">Calculated, not an input.</t>
  </si>
  <si>
    <t xml:space="preserve">Vendor</t>
  </si>
  <si>
    <t xml:space="preserve">Tier</t>
  </si>
  <si>
    <t xml:space="preserve">Order</t>
  </si>
  <si>
    <t xml:space="preserve">Pricing model</t>
  </si>
  <si>
    <t xml:space="preserve">Price per seat, annual</t>
  </si>
  <si>
    <t xml:space="preserve">Price per seat, monthly</t>
  </si>
  <si>
    <t xml:space="preserve">Flat price, annual</t>
  </si>
  <si>
    <t xml:space="preserve">Flat price, monthly</t>
  </si>
  <si>
    <t xml:space="preserve">Min seats</t>
  </si>
  <si>
    <t xml:space="preserve">Max seats</t>
  </si>
  <si>
    <t xml:space="preserve">Free tier</t>
  </si>
  <si>
    <t xml:space="preserve">Price visible</t>
  </si>
  <si>
    <t xml:space="preserve">SAML SSO</t>
  </si>
  <si>
    <t xml:space="preserve">Audit log</t>
  </si>
  <si>
    <t xml:space="preserve">Gantt or timeline</t>
  </si>
  <si>
    <t xml:space="preserve">Notes</t>
  </si>
  <si>
    <t xml:space="preserve">Source</t>
  </si>
  <si>
    <t xml:space="preserve">Collected</t>
  </si>
  <si>
    <t xml:space="preserve">Smartsheet</t>
  </si>
  <si>
    <t xml:space="preserve">Pro</t>
  </si>
  <si>
    <t xml:space="preserve">per_seat</t>
  </si>
  <si>
    <t xml:space="preserve">public</t>
  </si>
  <si>
    <t xml:space="preserve">not_stated</t>
  </si>
  <si>
    <t xml:space="preserve">yes</t>
  </si>
  <si>
    <t xml:space="preserve">1-10 Members, unlimited free Contributors</t>
  </si>
  <si>
    <t xml:space="preserve">https://www.smartsheet.com/pricing</t>
  </si>
  <si>
    <t xml:space="preserve">2026-10-02</t>
  </si>
  <si>
    <t xml:space="preserve">Business</t>
  </si>
  <si>
    <t xml:space="preserve">unlimited free Guests and Contributors</t>
  </si>
  <si>
    <t xml:space="preserve">Enterprise</t>
  </si>
  <si>
    <t xml:space="preserve">contact_sales</t>
  </si>
  <si>
    <t xml:space="preserve">Advanced Work Management</t>
  </si>
  <si>
    <t xml:space="preserve">monday.com</t>
  </si>
  <si>
    <t xml:space="preserve">Free</t>
  </si>
  <si>
    <t xml:space="preserve">up to 2 seats</t>
  </si>
  <si>
    <t xml:space="preserve">https://monday.com/pricing</t>
  </si>
  <si>
    <t xml:space="preserve">Basic</t>
  </si>
  <si>
    <t xml:space="preserve">AI credits billed separately: 1000 credits $10/mo, currently offset by a special monthly discount of -$10</t>
  </si>
  <si>
    <t xml:space="preserve">Standard</t>
  </si>
  <si>
    <t xml:space="preserve">2000 AI credits $20/mo offset by -$20 promo; automations and integrations capped at 250 actions/month each; timeline and Gantt views start here</t>
  </si>
  <si>
    <t xml:space="preserve">ClickUp</t>
  </si>
  <si>
    <t xml:space="preserve">Free Forever</t>
  </si>
  <si>
    <t xml:space="preserve">60MB storage, unlimited free plan members</t>
  </si>
  <si>
    <t xml:space="preserve">https://clickup.com/pricing</t>
  </si>
  <si>
    <t xml:space="preserve">Unlimited</t>
  </si>
  <si>
    <t xml:space="preserve">5K automations per month</t>
  </si>
  <si>
    <t xml:space="preserve">250K automations per month</t>
  </si>
  <si>
    <t xml:space="preserve">Trello</t>
  </si>
  <si>
    <t xml:space="preserve">free for up to 10 collaborators per Workspace</t>
  </si>
  <si>
    <t xml:space="preserve">https://trello.com/pricing</t>
  </si>
  <si>
    <t xml:space="preserve">Premium</t>
  </si>
  <si>
    <t xml:space="preserve">annual billing only; per-seat price falls with seat count, see volume_bands.csv; includes Atlassian Guard Standard</t>
  </si>
  <si>
    <t xml:space="preserve">Asana</t>
  </si>
  <si>
    <t xml:space="preserve">Personal</t>
  </si>
  <si>
    <t xml:space="preserve">https://asana.com/pricing</t>
  </si>
  <si>
    <t xml:space="preserve">Starter</t>
  </si>
  <si>
    <t xml:space="preserve">unlimited free guests; timeline and Gantt views start here</t>
  </si>
  <si>
    <t xml:space="preserve">Advanced</t>
  </si>
  <si>
    <t xml:space="preserve">SAML authentication and SCIM user provisioning start here</t>
  </si>
  <si>
    <t xml:space="preserve">Notion</t>
  </si>
  <si>
    <t xml:space="preserve">https://www.notion.com/pricing</t>
  </si>
  <si>
    <t xml:space="preserve">Plus</t>
  </si>
  <si>
    <t xml:space="preserve">SAML SSO starts here, not at Enterprise</t>
  </si>
  <si>
    <t xml:space="preserve">audit log starts here</t>
  </si>
  <si>
    <t xml:space="preserve">Jira</t>
  </si>
  <si>
    <t xml:space="preserve">https://www.atlassian.com/software/jira/pricing</t>
  </si>
  <si>
    <t xml:space="preserve">prices are the 1-100 user band; per-seat falls above 100 users, see volume_bands.csv</t>
  </si>
  <si>
    <t xml:space="preserve">prices are the 1-100 user band</t>
  </si>
  <si>
    <t xml:space="preserve">annual billing only</t>
  </si>
  <si>
    <t xml:space="preserve">Basecamp</t>
  </si>
  <si>
    <t xml:space="preserve">flat</t>
  </si>
  <si>
    <t xml:space="preserve">5 users max</t>
  </si>
  <si>
    <t xml:space="preserve">https://basecamp.com/pricing</t>
  </si>
  <si>
    <t xml:space="preserve">Freelancer</t>
  </si>
  <si>
    <t xml:space="preserve">20 users max, no per-user fees</t>
  </si>
  <si>
    <t xml:space="preserve">Studio</t>
  </si>
  <si>
    <t xml:space="preserve">unlimited users, no per-user fees</t>
  </si>
  <si>
    <t xml:space="preserve">Unlimited Edition</t>
  </si>
  <si>
    <t xml:space="preserve">unlimited users, no per-user fees; billed annually</t>
  </si>
  <si>
    <t xml:space="preserve">Wrike</t>
  </si>
  <si>
    <t xml:space="preserve">https://www.wrike.com/price/</t>
  </si>
  <si>
    <t xml:space="preserve">Team</t>
  </si>
  <si>
    <t xml:space="preserve">hard range 2 to 15 users; annual billing only on this page</t>
  </si>
  <si>
    <t xml:space="preserve">hard range 5 to 200 users; a team under 5 still pays for 5</t>
  </si>
  <si>
    <t xml:space="preserve">Pinnacle</t>
  </si>
  <si>
    <t xml:space="preserve">Apex</t>
  </si>
  <si>
    <t xml:space="preserve">Teamwork.com</t>
  </si>
  <si>
    <t xml:space="preserve">max 5 users</t>
  </si>
  <si>
    <t xml:space="preserve">https://www.teamwork.com/pricing/</t>
  </si>
  <si>
    <t xml:space="preserve">Basics</t>
  </si>
  <si>
    <t xml:space="preserve">minimum 3 users</t>
  </si>
  <si>
    <t xml:space="preserve">Accelerate</t>
  </si>
  <si>
    <t xml:space="preserve">Optimize</t>
  </si>
  <si>
    <t xml:space="preserve">TeamGantt</t>
  </si>
  <si>
    <t xml:space="preserve">Base</t>
  </si>
  <si>
    <t xml:space="preserve">per_project</t>
  </si>
  <si>
    <t xml:space="preserve">1 manager and 10 collaborators; annual billing 20% off</t>
  </si>
  <si>
    <t xml:space="preserve">https://www.teamgantt.com/pricing</t>
  </si>
  <si>
    <t xml:space="preserve">starts at $120/mo for 5 projects, additional projects $24/mo each; unlimited managers and collaborators; annual billing 20% off</t>
  </si>
  <si>
    <t xml:space="preserve">Builder Edition</t>
  </si>
  <si>
    <t xml:space="preserve">starts at $199/mo for 10 projects; annual billing 20% off</t>
  </si>
  <si>
    <t xml:space="preserve">Hive</t>
  </si>
  <si>
    <t xml:space="preserve">200MB storage, up to 10 workspace members, 1000 AI credits/month</t>
  </si>
  <si>
    <t xml:space="preserve">https://www.hive.com/pricing/</t>
  </si>
  <si>
    <t xml:space="preserve">up to 10 workspace members and 10 projects; 3000 AI credits/month; Gantt view starts here</t>
  </si>
  <si>
    <t xml:space="preserve">Teams</t>
  </si>
  <si>
    <t xml:space="preserve">unlimited workspace members; 5000 AI credits/month</t>
  </si>
  <si>
    <t xml:space="preserve">custom AI credits</t>
  </si>
  <si>
    <t xml:space="preserve">Zoho Projects</t>
  </si>
  <si>
    <t xml:space="preserve">up to 5 users</t>
  </si>
  <si>
    <t xml:space="preserve">https://www.zoho.com/projects/pricing.html</t>
  </si>
  <si>
    <t xml:space="preserve">Enterprise tier is publicly priced here, unlike most of the set</t>
  </si>
  <si>
    <t xml:space="preserve">Ultimate</t>
  </si>
  <si>
    <t xml:space="preserve">GanttPRO</t>
  </si>
  <si>
    <t xml:space="preserve">Core</t>
  </si>
  <si>
    <t xml:space="preserve">price shown at the 20-member team size; page states lower price per user for larger teams</t>
  </si>
  <si>
    <t xml:space="preserve">https://ganttpro.com/pricing/</t>
  </si>
  <si>
    <t xml:space="preserve">custom fields and filters start here; price at 20 members</t>
  </si>
  <si>
    <t xml:space="preserve">workload management, portfolios and time tracking start here; price at 20 members</t>
  </si>
  <si>
    <t xml:space="preserve">list $30 shown struck through at $20; 5+ users; SAML SSO and custom roles start here</t>
  </si>
  <si>
    <t xml:space="preserve">Runrun.it</t>
  </si>
  <si>
    <t xml:space="preserve">https://runrun.it/en-US/plans-and-prices</t>
  </si>
  <si>
    <t xml:space="preserve">from 5 users</t>
  </si>
  <si>
    <t xml:space="preserve">annual billing only; publicly priced</t>
  </si>
  <si>
    <t xml:space="preserve">Seats billed</t>
  </si>
  <si>
    <t xml:space="preserve">Within seat cap</t>
  </si>
  <si>
    <t xml:space="preserve">Price published</t>
  </si>
  <si>
    <t xml:space="preserve">Meets requirements</t>
  </si>
  <si>
    <t xml:space="preserve">Qualifies</t>
  </si>
  <si>
    <t xml:space="preserve">Cost per month</t>
  </si>
  <si>
    <t xml:space="preserve">Cost over horizon</t>
  </si>
  <si>
    <t xml:space="preserve">Why it is ruled out</t>
  </si>
  <si>
    <t xml:space="preserve">Cost per month at fixed team sizes</t>
  </si>
  <si>
    <t xml:space="preserve">Uses the capability requirements from Inputs but ignores the seat count there, so the comparison holds requirements fixed while team size varies.</t>
  </si>
  <si>
    <t xml:space="preserve">5 seats</t>
  </si>
  <si>
    <t xml:space="preserve">10 seats</t>
  </si>
  <si>
    <t xml:space="preserve">25 seats</t>
  </si>
  <si>
    <t xml:space="preserve">50 seats</t>
  </si>
  <si>
    <t xml:space="preserve">100 seats</t>
  </si>
  <si>
    <t xml:space="preserve">250 seats</t>
  </si>
  <si>
    <t xml:space="preserve">Cheapest qualifying tier, by team size</t>
  </si>
  <si>
    <t xml:space="preserve">Blank means no tier from that vendor qualifies at that size: either every tier is capped below it, or none meets the requirements set on Inputs, or the tier that would is contact-sales.</t>
  </si>
  <si>
    <t xml:space="preserve">$ per seat at 100</t>
  </si>
  <si>
    <t xml:space="preserve">Cheapest of all vendors</t>
  </si>
  <si>
    <t xml:space="preserve">Chart data</t>
  </si>
  <si>
    <t xml:space="preserve">Vendors whose per-seat price falls as the team grows</t>
  </si>
  <si>
    <t xml:space="preserve">Collected by driving each vendor's own seat selector. The model above does not apply these bands; it uses list price, which overstates cost at large team sizes for these two vendors.</t>
  </si>
  <si>
    <t xml:space="preserve">Seats</t>
  </si>
  <si>
    <t xml:space="preserve">Price per seat</t>
  </si>
  <si>
    <t xml:space="preserve">Annual per user</t>
  </si>
  <si>
    <t xml:space="preserve">pricing page seat slider</t>
  </si>
  <si>
    <t xml:space="preserve">pricing page team size box (billed monthly)</t>
  </si>
  <si>
    <t xml:space="preserve">Capabilities sold separately</t>
  </si>
  <si>
    <t xml:space="preserve">A yes or no column cannot hold these. Hive sells single sign-on as a per-seat add-on, which is the only published price for SSO in the whole set.</t>
  </si>
  <si>
    <t xml:space="preserve">Add-on</t>
  </si>
  <si>
    <t xml:space="preserve">Price</t>
  </si>
  <si>
    <t xml:space="preserve">Unit</t>
  </si>
  <si>
    <t xml:space="preserve">SSO, enterprise security &amp; control</t>
  </si>
  <si>
    <t xml:space="preserve">per user per month</t>
  </si>
  <si>
    <t xml:space="preserve">any of six add-ons is +$5 each</t>
  </si>
  <si>
    <t xml:space="preserve">Event reporting (audit)</t>
  </si>
  <si>
    <t xml:space="preserve">listed as an add-on to a contact-sales tier, so unpriceable</t>
  </si>
  <si>
    <t xml:space="preserve">Price visibility across the wider category</t>
  </si>
  <si>
    <t xml:space="preserve">No prices collected here, only whether a price is published at all. Rows marked browser_verified were checked by loading the page, because a plain text fetch reports false opacity on client-rendered prices.</t>
  </si>
  <si>
    <t xml:space="preserve">Frame rank</t>
  </si>
  <si>
    <t xml:space="preserve">Paid tiers</t>
  </si>
  <si>
    <t xml:space="preserve">Tiers priced</t>
  </si>
  <si>
    <t xml:space="preserve">Tiers contact sales</t>
  </si>
  <si>
    <t xml:space="preserve">Free plan</t>
  </si>
  <si>
    <t xml:space="preserve">Visibility</t>
  </si>
  <si>
    <t xml:space="preserve">Confidence</t>
  </si>
  <si>
    <t xml:space="preserve">In category</t>
  </si>
  <si>
    <t xml:space="preserve">Airtable</t>
  </si>
  <si>
    <t xml:space="preserve">partial</t>
  </si>
  <si>
    <t xml:space="preserve">text_fetch</t>
  </si>
  <si>
    <t xml:space="preserve">https://airtable.com/pricing</t>
  </si>
  <si>
    <t xml:space="preserve">Quickbase</t>
  </si>
  <si>
    <t xml:space="preserve">https://www.quickbase.com/pricing</t>
  </si>
  <si>
    <t xml:space="preserve">Adobe Workfront</t>
  </si>
  <si>
    <t xml:space="preserve">contact_sales_only</t>
  </si>
  <si>
    <t xml:space="preserve">browser_verified</t>
  </si>
  <si>
    <t xml:space="preserve">https://business.adobe.com/products/workfront/pricing.html</t>
  </si>
  <si>
    <t xml:space="preserve">Todoist</t>
  </si>
  <si>
    <t xml:space="preserve">https://todoist.com/pricing</t>
  </si>
  <si>
    <t xml:space="preserve">Celoxis</t>
  </si>
  <si>
    <t xml:space="preserve">https://www.celoxis.com/pricing</t>
  </si>
  <si>
    <t xml:space="preserve">Scoro</t>
  </si>
  <si>
    <t xml:space="preserve">https://www.scoro.com/pricing/</t>
  </si>
  <si>
    <t xml:space="preserve">Aha!</t>
  </si>
  <si>
    <t xml:space="preserve">https://www.aha.io/roadmaps/pricing</t>
  </si>
  <si>
    <t xml:space="preserve">ProofHub</t>
  </si>
  <si>
    <t xml:space="preserve">https://www.proofhub.com/pricing</t>
  </si>
  <si>
    <t xml:space="preserve">SmartSuite</t>
  </si>
  <si>
    <t xml:space="preserve">https://www.smartsuite.com/pricing</t>
  </si>
  <si>
    <t xml:space="preserve">Freedcamp</t>
  </si>
  <si>
    <t xml:space="preserve">https://freedcamp.com/pricing</t>
  </si>
  <si>
    <t xml:space="preserve">Backlog</t>
  </si>
  <si>
    <t xml:space="preserve">https://nulab.com/pricing/backlog/</t>
  </si>
  <si>
    <t xml:space="preserve">Worksection</t>
  </si>
  <si>
    <t xml:space="preserve">https://worksection.com/en/price.html</t>
  </si>
  <si>
    <t xml:space="preserve">Orangescrum</t>
  </si>
  <si>
    <t xml:space="preserve">https://www.orangescrum.com/pricing</t>
  </si>
  <si>
    <t xml:space="preserve">Productive</t>
  </si>
  <si>
    <t xml:space="preserve">https://www.productive.io/pricing/</t>
  </si>
  <si>
    <t xml:space="preserve">Workzone</t>
  </si>
  <si>
    <t xml:space="preserve">https://workzone.com/pricing/</t>
  </si>
  <si>
    <t xml:space="preserve">Bordio</t>
  </si>
  <si>
    <t xml:space="preserve">https://bordio.com/pricing/</t>
  </si>
  <si>
    <t xml:space="preserve">Lytho</t>
  </si>
  <si>
    <t xml:space="preserve">https://www.lytho.com/pricing/</t>
  </si>
  <si>
    <t xml:space="preserve">ProProfs Project</t>
  </si>
  <si>
    <t xml:space="preserve">https://www.proprofsproject.com/pricing/</t>
  </si>
  <si>
    <t xml:space="preserve">Method and what is wrong with it</t>
  </si>
  <si>
    <t xml:space="preserve">THE SAMPLE</t>
  </si>
  <si>
    <t xml:space="preserve">Vendors were taken from the union of two public category listings, project management and task management, read on 2 October 2026 and ordered by review count. The listings' own page order was not used because it is influenced by sponsorship. The walk down that list and the reason for every vendor passed over is recorded in the project's frame file.</t>
  </si>
  <si>
    <t xml:space="preserve">The first fifteen general-purpose work trackers publishing prices in US dollars form the deep set. Airtable was passed over as a database product, Quickbase as an application platform, and Adobe Workfront because it publishes no price at all.</t>
  </si>
  <si>
    <t xml:space="preserve">THREE WAYS THIS DATA CAN BE WRONG, ALL OF WHICH BIT DURING COLLECTION</t>
  </si>
  <si>
    <t xml:space="preserve">1. Pricing pages render both the monthly and the annual price into the page and hide one. Any plain text extraction concatenates them. Smartsheet Pro read as $129 a seat; it is $12 monthly and $9 annual. Every price here was therefore read from the rendered page.</t>
  </si>
  <si>
    <t xml:space="preserve">2. The same extraction reports no price at all when prices are drawn by client-side script. Todoist came back as having no published prices. It publishes them. That error inflates any measure of price opacity, which is the thing being measured, so every dark result was re-checked in a browser.</t>
  </si>
  <si>
    <t xml:space="preserve">3. A capability can be missing from a pricing page without being missing from the product. This workbook treats a capability the page does not claim as absent, which is correct for a buyer and unkind to vendors with vague pages.</t>
  </si>
  <si>
    <t xml:space="preserve">WHAT IS NOT IN HERE</t>
  </si>
  <si>
    <t xml:space="preserve">Negotiated pricing, nonprofit and education rates, currencies other than US dollars, and any tier whose price is only available through a sales conversation.</t>
  </si>
  <si>
    <t xml:space="preserve">Volume banding is recorded for the two vendors that expose a seat selector, and is not applied in the model. For those two the model overstates cost at large team sizes.</t>
  </si>
  <si>
    <t xml:space="preserve">Ten of the thirteen capabilities originally scoped were not collected to completion. Single sign-on and audit log were, because they are the two that decide the result.</t>
  </si>
  <si>
    <t xml:space="preserve">Collected 2 October 2026. Software pricing moves quarterly.</t>
  </si>
</sst>
</file>

<file path=xl/styles.xml><?xml version="1.0" encoding="utf-8"?>
<styleSheet xmlns="http://schemas.openxmlformats.org/spreadsheetml/2006/main">
  <numFmts count="5">
    <numFmt numFmtId="164" formatCode="General"/>
    <numFmt numFmtId="165" formatCode="0"/>
    <numFmt numFmtId="166" formatCode="0.0%"/>
    <numFmt numFmtId="167" formatCode="\$#,##0.00;&quot;($&quot;#,##0.00\);\-"/>
    <numFmt numFmtId="168" formatCode="\$#,##0;&quot;($&quot;#,##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sz val="10"/>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1F3864"/>
        <bgColor rgb="FF333399"/>
      </patternFill>
    </fill>
    <fill>
      <patternFill patternType="solid">
        <fgColor rgb="FFF2F2F2"/>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59240"/>
      <rgbColor rgb="FFFF6600"/>
      <rgbColor rgb="FF7D5FA0"/>
      <rgbColor rgb="FF969696"/>
      <rgbColor rgb="FF1F3864"/>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Cheapest qualifying cost per month, by team size</a:t>
            </a:r>
          </a:p>
        </c:rich>
      </c:tx>
      <c:overlay val="0"/>
      <c:spPr>
        <a:noFill/>
        <a:ln w="0">
          <a:noFill/>
        </a:ln>
      </c:spPr>
    </c:title>
    <c:autoTitleDeleted val="0"/>
    <c:plotArea>
      <c:lineChart>
        <c:grouping val="standard"/>
        <c:varyColors val="0"/>
        <c:ser>
          <c:idx val="0"/>
          <c:order val="0"/>
          <c:tx>
            <c:strRef>
              <c:f>Compare!A24</c:f>
              <c:strCache>
                <c:ptCount val="1"/>
                <c:pt idx="0">
                  <c:v>Basecamp</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Compare!$B$24:$G$24</c:f>
              <c:numCache>
                <c:formatCode>\$#,##0.00;"($"#,##0.00\);\-</c:formatCode>
                <c:ptCount val="6"/>
                <c:pt idx="0">
                  <c:v>20.8333333333333</c:v>
                </c:pt>
                <c:pt idx="1">
                  <c:v>20.8333333333333</c:v>
                </c:pt>
                <c:pt idx="2">
                  <c:v>49.1666666666667</c:v>
                </c:pt>
                <c:pt idx="3">
                  <c:v>49.1666666666667</c:v>
                </c:pt>
                <c:pt idx="4">
                  <c:v>49.1666666666667</c:v>
                </c:pt>
                <c:pt idx="5">
                  <c:v>49.1666666666667</c:v>
                </c:pt>
              </c:numCache>
            </c:numRef>
          </c:val>
          <c:smooth val="1"/>
        </c:ser>
        <c:ser>
          <c:idx val="1"/>
          <c:order val="1"/>
          <c:tx>
            <c:strRef>
              <c:f>Compare!A25</c:f>
              <c:strCache>
                <c:ptCount val="1"/>
                <c:pt idx="0">
                  <c:v>Zoho Projects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Compare!$B$25:$G$25</c:f>
              <c:numCache>
                <c:formatCode>\$#,##0.00;"($"#,##0.00\);\-</c:formatCode>
                <c:ptCount val="6"/>
                <c:pt idx="0">
                  <c:v>20</c:v>
                </c:pt>
                <c:pt idx="1">
                  <c:v>40</c:v>
                </c:pt>
                <c:pt idx="2">
                  <c:v>100</c:v>
                </c:pt>
                <c:pt idx="3">
                  <c:v>200</c:v>
                </c:pt>
                <c:pt idx="4">
                  <c:v>400</c:v>
                </c:pt>
                <c:pt idx="5">
                  <c:v>1000</c:v>
                </c:pt>
              </c:numCache>
            </c:numRef>
          </c:val>
          <c:smooth val="1"/>
        </c:ser>
        <c:ser>
          <c:idx val="2"/>
          <c:order val="2"/>
          <c:tx>
            <c:strRef>
              <c:f>Compare!A26</c:f>
              <c:strCache>
                <c:ptCount val="1"/>
                <c:pt idx="0">
                  <c:v>Trello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Compare!$B$26:$G$26</c:f>
              <c:numCache>
                <c:formatCode>\$#,##0.00;"($"#,##0.00\);\-</c:formatCode>
                <c:ptCount val="6"/>
                <c:pt idx="0">
                  <c:v>25</c:v>
                </c:pt>
                <c:pt idx="1">
                  <c:v>50</c:v>
                </c:pt>
                <c:pt idx="2">
                  <c:v>125</c:v>
                </c:pt>
                <c:pt idx="3">
                  <c:v>250</c:v>
                </c:pt>
                <c:pt idx="4">
                  <c:v>500</c:v>
                </c:pt>
                <c:pt idx="5">
                  <c:v>1250</c:v>
                </c:pt>
              </c:numCache>
            </c:numRef>
          </c:val>
          <c:smooth val="1"/>
        </c:ser>
        <c:ser>
          <c:idx val="3"/>
          <c:order val="3"/>
          <c:tx>
            <c:strRef>
              <c:f>Compare!A27</c:f>
              <c:strCache>
                <c:ptCount val="1"/>
                <c:pt idx="0">
                  <c:v>ClickUp</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Compare!$B$27:$G$27</c:f>
              <c:numCache>
                <c:formatCode>\$#,##0.00;"($"#,##0.00\);\-</c:formatCode>
                <c:ptCount val="6"/>
                <c:pt idx="0">
                  <c:v>35</c:v>
                </c:pt>
                <c:pt idx="1">
                  <c:v>70</c:v>
                </c:pt>
                <c:pt idx="2">
                  <c:v>175</c:v>
                </c:pt>
                <c:pt idx="3">
                  <c:v>350</c:v>
                </c:pt>
                <c:pt idx="4">
                  <c:v>700</c:v>
                </c:pt>
                <c:pt idx="5">
                  <c:v>1750</c:v>
                </c:pt>
              </c:numCache>
            </c:numRef>
          </c:val>
          <c:smooth val="1"/>
        </c:ser>
        <c:ser>
          <c:idx val="4"/>
          <c:order val="4"/>
          <c:tx>
            <c:strRef>
              <c:f>Compare!A28</c:f>
              <c:strCache>
                <c:ptCount val="1"/>
                <c:pt idx="0">
                  <c:v>Jira</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Compare!$B$28:$G$28</c:f>
              <c:numCache>
                <c:formatCode>\$#,##0.00;"($"#,##0.00\);\-</c:formatCode>
                <c:ptCount val="6"/>
                <c:pt idx="0">
                  <c:v>37.5</c:v>
                </c:pt>
                <c:pt idx="1">
                  <c:v>75</c:v>
                </c:pt>
                <c:pt idx="2">
                  <c:v>187.5</c:v>
                </c:pt>
                <c:pt idx="3">
                  <c:v>375</c:v>
                </c:pt>
                <c:pt idx="4">
                  <c:v>750</c:v>
                </c:pt>
                <c:pt idx="5">
                  <c:v>1875</c:v>
                </c:pt>
              </c:numCache>
            </c:numRef>
          </c:val>
          <c:smooth val="1"/>
        </c:ser>
        <c:ser>
          <c:idx val="5"/>
          <c:order val="5"/>
          <c:tx>
            <c:strRef>
              <c:f>Compare!A29</c:f>
              <c:strCache>
                <c:ptCount val="1"/>
                <c:pt idx="0">
                  <c:v>Asana</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Compare!$B$23:$G$23</c:f>
              <c:strCache>
                <c:ptCount val="6"/>
                <c:pt idx="0">
                  <c:v>5</c:v>
                </c:pt>
                <c:pt idx="1">
                  <c:v>10</c:v>
                </c:pt>
                <c:pt idx="2">
                  <c:v>25</c:v>
                </c:pt>
                <c:pt idx="3">
                  <c:v>50</c:v>
                </c:pt>
                <c:pt idx="4">
                  <c:v>100</c:v>
                </c:pt>
                <c:pt idx="5">
                  <c:v>250</c:v>
                </c:pt>
              </c:strCache>
            </c:strRef>
          </c:cat>
          <c:val>
            <c:numRef>
              <c:f>Compare!$B$29:$G$29</c:f>
              <c:numCache>
                <c:formatCode>\$#,##0.00;"($"#,##0.00\);\-</c:formatCode>
                <c:ptCount val="6"/>
                <c:pt idx="0">
                  <c:v>54.95</c:v>
                </c:pt>
                <c:pt idx="1">
                  <c:v>109.9</c:v>
                </c:pt>
                <c:pt idx="2">
                  <c:v>274.75</c:v>
                </c:pt>
                <c:pt idx="3">
                  <c:v>549.5</c:v>
                </c:pt>
                <c:pt idx="4">
                  <c:v>1099</c:v>
                </c:pt>
                <c:pt idx="5">
                  <c:v>2747.5</c:v>
                </c:pt>
              </c:numCache>
            </c:numRef>
          </c:val>
          <c:smooth val="1"/>
        </c:ser>
        <c:hiLowLines>
          <c:spPr>
            <a:ln w="0">
              <a:noFill/>
            </a:ln>
          </c:spPr>
        </c:hiLowLines>
        <c:marker val="0"/>
        <c:axId val="74711949"/>
        <c:axId val="5992874"/>
      </c:lineChart>
      <c:catAx>
        <c:axId val="747119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Team size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92874"/>
        <c:crosses val="autoZero"/>
        <c:auto val="1"/>
        <c:lblAlgn val="ctr"/>
        <c:lblOffset val="100"/>
        <c:noMultiLvlLbl val="0"/>
      </c:catAx>
      <c:valAx>
        <c:axId val="59928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 per month</a:t>
                </a:r>
              </a:p>
            </c:rich>
          </c:tx>
          <c:overlay val="0"/>
          <c:spPr>
            <a:noFill/>
            <a:ln w="0">
              <a:noFill/>
            </a:ln>
          </c:spPr>
        </c:title>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7119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160560</xdr:rowOff>
    </xdr:from>
    <xdr:to>
      <xdr:col>8</xdr:col>
      <xdr:colOff>604440</xdr:colOff>
      <xdr:row>49</xdr:row>
      <xdr:rowOff>140760</xdr:rowOff>
    </xdr:to>
    <xdr:graphicFrame>
      <xdr:nvGraphicFramePr>
        <xdr:cNvPr id="0" name="Chart 1"/>
        <xdr:cNvGraphicFramePr/>
      </xdr:nvGraphicFramePr>
      <xdr:xfrm>
        <a:off x="0" y="590544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3" t="s">
        <v>1</v>
      </c>
    </row>
    <row r="4" customFormat="false" ht="15" hidden="false" customHeight="false" outlineLevel="0" collapsed="false">
      <c r="A4" s="2"/>
    </row>
    <row r="5" customFormat="false" ht="15" hidden="false" customHeight="false" outlineLevel="0" collapsed="false">
      <c r="A5" s="4" t="s">
        <v>2</v>
      </c>
    </row>
    <row r="6" customFormat="false" ht="23.85" hidden="false" customHeight="false" outlineLevel="0" collapsed="false">
      <c r="A6" s="3" t="s">
        <v>3</v>
      </c>
    </row>
    <row r="7" customFormat="false" ht="15" hidden="false" customHeight="false" outlineLevel="0" collapsed="false">
      <c r="A7" s="2"/>
    </row>
    <row r="8" customFormat="false" ht="15" hidden="false" customHeight="false" outlineLevel="0" collapsed="false">
      <c r="A8" s="4" t="s">
        <v>4</v>
      </c>
    </row>
    <row r="9" customFormat="false" ht="15" hidden="false" customHeight="false" outlineLevel="0" collapsed="false">
      <c r="A9" s="3" t="s">
        <v>5</v>
      </c>
    </row>
    <row r="10" customFormat="false" ht="15" hidden="false" customHeight="false" outlineLevel="0" collapsed="false">
      <c r="A10" s="3" t="s">
        <v>6</v>
      </c>
    </row>
    <row r="11" customFormat="false" ht="15" hidden="false" customHeight="false" outlineLevel="0" collapsed="false">
      <c r="A11" s="3"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2"/>
    </row>
    <row r="19" customFormat="false" ht="15" hidden="false" customHeight="false" outlineLevel="0" collapsed="false">
      <c r="A19" s="4" t="s">
        <v>14</v>
      </c>
    </row>
    <row r="20" customFormat="false" ht="23.85" hidden="false" customHeight="false" outlineLevel="0" collapsed="false">
      <c r="A20" s="3" t="s">
        <v>15</v>
      </c>
    </row>
    <row r="21" customFormat="false" ht="23.85" hidden="false" customHeight="false" outlineLevel="0" collapsed="false">
      <c r="A21" s="3" t="s">
        <v>16</v>
      </c>
    </row>
    <row r="22" customFormat="false" ht="23.85" hidden="false" customHeight="false" outlineLevel="0" collapsed="false">
      <c r="A22"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5" t="s">
        <v>18</v>
      </c>
    </row>
    <row r="2" customFormat="false" ht="15" hidden="false" customHeight="false" outlineLevel="0" collapsed="false">
      <c r="A2" s="6" t="s">
        <v>19</v>
      </c>
    </row>
    <row r="4" customFormat="false" ht="15" hidden="false" customHeight="false" outlineLevel="0" collapsed="false">
      <c r="A4" s="7" t="s">
        <v>20</v>
      </c>
    </row>
    <row r="5" customFormat="false" ht="15" hidden="false" customHeight="false" outlineLevel="0" collapsed="false">
      <c r="A5" s="8" t="s">
        <v>21</v>
      </c>
      <c r="B5" s="9" t="n">
        <v>25</v>
      </c>
      <c r="C5" s="10" t="s">
        <v>22</v>
      </c>
    </row>
    <row r="6" customFormat="false" ht="15" hidden="false" customHeight="false" outlineLevel="0" collapsed="false">
      <c r="A6" s="8" t="s">
        <v>23</v>
      </c>
      <c r="B6" s="11" t="n">
        <v>0.2</v>
      </c>
      <c r="C6" s="10" t="s">
        <v>24</v>
      </c>
    </row>
    <row r="7" customFormat="false" ht="15" hidden="false" customHeight="false" outlineLevel="0" collapsed="false">
      <c r="A7" s="8" t="s">
        <v>25</v>
      </c>
      <c r="B7" s="9" t="n">
        <v>36</v>
      </c>
      <c r="C7" s="10" t="s">
        <v>26</v>
      </c>
    </row>
    <row r="8" customFormat="false" ht="23.85" hidden="false" customHeight="false" outlineLevel="0" collapsed="false">
      <c r="A8" s="8" t="s">
        <v>27</v>
      </c>
      <c r="B8" s="12" t="s">
        <v>28</v>
      </c>
      <c r="C8" s="10" t="s">
        <v>29</v>
      </c>
    </row>
    <row r="10" customFormat="false" ht="15" hidden="false" customHeight="false" outlineLevel="0" collapsed="false">
      <c r="A10" s="7" t="s">
        <v>30</v>
      </c>
    </row>
    <row r="11" customFormat="false" ht="15" hidden="false" customHeight="false" outlineLevel="0" collapsed="false">
      <c r="A11" s="8" t="s">
        <v>31</v>
      </c>
      <c r="B11" s="12" t="s">
        <v>32</v>
      </c>
      <c r="C11" s="10" t="s">
        <v>33</v>
      </c>
    </row>
    <row r="12" customFormat="false" ht="15" hidden="false" customHeight="false" outlineLevel="0" collapsed="false">
      <c r="A12" s="8" t="s">
        <v>34</v>
      </c>
      <c r="B12" s="12" t="s">
        <v>32</v>
      </c>
      <c r="C12" s="10" t="s">
        <v>35</v>
      </c>
    </row>
    <row r="13" customFormat="false" ht="15" hidden="false" customHeight="false" outlineLevel="0" collapsed="false">
      <c r="A13" s="8" t="s">
        <v>36</v>
      </c>
      <c r="B13" s="12" t="s">
        <v>32</v>
      </c>
      <c r="C13" s="10" t="s">
        <v>35</v>
      </c>
    </row>
    <row r="15" customFormat="false" ht="15" hidden="false" customHeight="false" outlineLevel="0" collapsed="false">
      <c r="A15" s="8" t="s">
        <v>37</v>
      </c>
      <c r="B15" s="13" t="n">
        <f aca="false">ROUND(B5*(1+B6)^(B7/12),0)</f>
        <v>43</v>
      </c>
      <c r="C15" s="6" t="s">
        <v>38</v>
      </c>
    </row>
  </sheetData>
  <dataValidations count="2">
    <dataValidation allowBlank="false" errorStyle="stop" operator="between" showDropDown="false" showErrorMessage="false" showInputMessage="false" sqref="B8" type="list">
      <formula1>"annual,monthly"</formula1>
      <formula2>0</formula2>
    </dataValidation>
    <dataValidation allowBlank="false" errorStyle="stop" operator="between" showDropDown="false" showErrorMessage="false" showInputMessage="false" sqref="B11:B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7"/>
    <col collapsed="false" customWidth="true" hidden="false" outlineLevel="0" max="6" min="4" style="0" width="13"/>
    <col collapsed="false" customWidth="true" hidden="false" outlineLevel="0" max="8" min="7" style="0" width="12"/>
    <col collapsed="false" customWidth="true" hidden="false" outlineLevel="0" max="11" min="9" style="0" width="9"/>
    <col collapsed="false" customWidth="true" hidden="false" outlineLevel="0" max="12" min="12" style="0" width="12"/>
    <col collapsed="false" customWidth="true" hidden="false" outlineLevel="0" max="14" min="13" style="0" width="10"/>
    <col collapsed="false" customWidth="true" hidden="false" outlineLevel="0" max="15" min="15" style="0" width="11"/>
    <col collapsed="false" customWidth="true" hidden="false" outlineLevel="0" max="16" min="16" style="0" width="52"/>
    <col collapsed="false" customWidth="true" hidden="false" outlineLevel="0" max="17" min="17" style="0" width="46"/>
    <col collapsed="false" customWidth="true" hidden="false" outlineLevel="0" max="18" min="18" style="0" width="11"/>
  </cols>
  <sheetData>
    <row r="1" customFormat="false" ht="23.85" hidden="false" customHeight="false" outlineLevel="0" collapsed="false">
      <c r="A1" s="14" t="s">
        <v>39</v>
      </c>
      <c r="B1" s="14" t="s">
        <v>40</v>
      </c>
      <c r="C1" s="14" t="s">
        <v>41</v>
      </c>
      <c r="D1" s="14" t="s">
        <v>42</v>
      </c>
      <c r="E1" s="14" t="s">
        <v>43</v>
      </c>
      <c r="F1" s="14" t="s">
        <v>44</v>
      </c>
      <c r="G1" s="14" t="s">
        <v>45</v>
      </c>
      <c r="H1" s="14" t="s">
        <v>46</v>
      </c>
      <c r="I1" s="14" t="s">
        <v>47</v>
      </c>
      <c r="J1" s="14" t="s">
        <v>48</v>
      </c>
      <c r="K1" s="14" t="s">
        <v>49</v>
      </c>
      <c r="L1" s="14" t="s">
        <v>50</v>
      </c>
      <c r="M1" s="14" t="s">
        <v>51</v>
      </c>
      <c r="N1" s="14" t="s">
        <v>52</v>
      </c>
      <c r="O1" s="14" t="s">
        <v>53</v>
      </c>
      <c r="P1" s="14" t="s">
        <v>54</v>
      </c>
      <c r="Q1" s="14" t="s">
        <v>55</v>
      </c>
      <c r="R1" s="14" t="s">
        <v>56</v>
      </c>
    </row>
    <row r="2" customFormat="false" ht="15" hidden="false" customHeight="false" outlineLevel="0" collapsed="false">
      <c r="A2" s="8" t="s">
        <v>57</v>
      </c>
      <c r="B2" s="8" t="s">
        <v>58</v>
      </c>
      <c r="C2" s="8" t="n">
        <v>1</v>
      </c>
      <c r="D2" s="8" t="s">
        <v>59</v>
      </c>
      <c r="E2" s="15" t="n">
        <v>9</v>
      </c>
      <c r="F2" s="15" t="n">
        <v>12</v>
      </c>
      <c r="G2" s="15"/>
      <c r="H2" s="15"/>
      <c r="I2" s="8" t="n">
        <v>1</v>
      </c>
      <c r="J2" s="8" t="n">
        <v>10</v>
      </c>
      <c r="K2" s="8" t="s">
        <v>32</v>
      </c>
      <c r="L2" s="8" t="s">
        <v>60</v>
      </c>
      <c r="M2" s="8" t="s">
        <v>61</v>
      </c>
      <c r="N2" s="8" t="s">
        <v>61</v>
      </c>
      <c r="O2" s="8" t="s">
        <v>62</v>
      </c>
      <c r="P2" s="8" t="s">
        <v>63</v>
      </c>
      <c r="Q2" s="8" t="s">
        <v>64</v>
      </c>
      <c r="R2" s="8" t="s">
        <v>65</v>
      </c>
    </row>
    <row r="3" customFormat="false" ht="15" hidden="false" customHeight="false" outlineLevel="0" collapsed="false">
      <c r="A3" s="16" t="s">
        <v>57</v>
      </c>
      <c r="B3" s="16" t="s">
        <v>66</v>
      </c>
      <c r="C3" s="16" t="n">
        <v>2</v>
      </c>
      <c r="D3" s="16" t="s">
        <v>59</v>
      </c>
      <c r="E3" s="17" t="n">
        <v>19</v>
      </c>
      <c r="F3" s="17" t="n">
        <v>24</v>
      </c>
      <c r="G3" s="17"/>
      <c r="H3" s="17"/>
      <c r="I3" s="16" t="n">
        <v>3</v>
      </c>
      <c r="J3" s="16"/>
      <c r="K3" s="16" t="s">
        <v>32</v>
      </c>
      <c r="L3" s="16" t="s">
        <v>60</v>
      </c>
      <c r="M3" s="16" t="s">
        <v>61</v>
      </c>
      <c r="N3" s="16" t="s">
        <v>61</v>
      </c>
      <c r="O3" s="16" t="s">
        <v>62</v>
      </c>
      <c r="P3" s="16" t="s">
        <v>67</v>
      </c>
      <c r="Q3" s="16" t="s">
        <v>64</v>
      </c>
      <c r="R3" s="16" t="s">
        <v>65</v>
      </c>
    </row>
    <row r="4" customFormat="false" ht="15" hidden="false" customHeight="false" outlineLevel="0" collapsed="false">
      <c r="A4" s="8" t="s">
        <v>57</v>
      </c>
      <c r="B4" s="8" t="s">
        <v>68</v>
      </c>
      <c r="C4" s="8" t="n">
        <v>3</v>
      </c>
      <c r="D4" s="8" t="s">
        <v>59</v>
      </c>
      <c r="E4" s="15"/>
      <c r="F4" s="15"/>
      <c r="G4" s="15"/>
      <c r="H4" s="15"/>
      <c r="I4" s="8" t="n">
        <v>10</v>
      </c>
      <c r="J4" s="8"/>
      <c r="K4" s="8" t="s">
        <v>32</v>
      </c>
      <c r="L4" s="8" t="s">
        <v>69</v>
      </c>
      <c r="M4" s="8" t="s">
        <v>62</v>
      </c>
      <c r="N4" s="8" t="s">
        <v>61</v>
      </c>
      <c r="O4" s="8" t="s">
        <v>62</v>
      </c>
      <c r="P4" s="8"/>
      <c r="Q4" s="8" t="s">
        <v>64</v>
      </c>
      <c r="R4" s="8" t="s">
        <v>65</v>
      </c>
    </row>
    <row r="5" customFormat="false" ht="15" hidden="false" customHeight="false" outlineLevel="0" collapsed="false">
      <c r="A5" s="16" t="s">
        <v>57</v>
      </c>
      <c r="B5" s="16" t="s">
        <v>70</v>
      </c>
      <c r="C5" s="16" t="n">
        <v>4</v>
      </c>
      <c r="D5" s="16" t="s">
        <v>59</v>
      </c>
      <c r="E5" s="17"/>
      <c r="F5" s="17"/>
      <c r="G5" s="17"/>
      <c r="H5" s="17"/>
      <c r="I5" s="16"/>
      <c r="J5" s="16"/>
      <c r="K5" s="16" t="s">
        <v>32</v>
      </c>
      <c r="L5" s="16" t="s">
        <v>69</v>
      </c>
      <c r="M5" s="16" t="s">
        <v>62</v>
      </c>
      <c r="N5" s="16" t="s">
        <v>61</v>
      </c>
      <c r="O5" s="16" t="s">
        <v>62</v>
      </c>
      <c r="P5" s="16"/>
      <c r="Q5" s="16" t="s">
        <v>64</v>
      </c>
      <c r="R5" s="16" t="s">
        <v>65</v>
      </c>
    </row>
    <row r="6" customFormat="false" ht="15" hidden="false" customHeight="false" outlineLevel="0" collapsed="false">
      <c r="A6" s="8" t="s">
        <v>71</v>
      </c>
      <c r="B6" s="8" t="s">
        <v>72</v>
      </c>
      <c r="C6" s="8" t="n">
        <v>0</v>
      </c>
      <c r="D6" s="8" t="s">
        <v>59</v>
      </c>
      <c r="E6" s="15" t="n">
        <v>0</v>
      </c>
      <c r="F6" s="15" t="n">
        <v>0</v>
      </c>
      <c r="G6" s="15"/>
      <c r="H6" s="15"/>
      <c r="I6" s="8" t="n">
        <v>1</v>
      </c>
      <c r="J6" s="8" t="n">
        <v>2</v>
      </c>
      <c r="K6" s="8" t="s">
        <v>62</v>
      </c>
      <c r="L6" s="8" t="s">
        <v>60</v>
      </c>
      <c r="M6" s="8" t="s">
        <v>61</v>
      </c>
      <c r="N6" s="8" t="s">
        <v>61</v>
      </c>
      <c r="O6" s="8" t="s">
        <v>32</v>
      </c>
      <c r="P6" s="8" t="s">
        <v>73</v>
      </c>
      <c r="Q6" s="8" t="s">
        <v>74</v>
      </c>
      <c r="R6" s="8" t="s">
        <v>65</v>
      </c>
    </row>
    <row r="7" customFormat="false" ht="15" hidden="false" customHeight="false" outlineLevel="0" collapsed="false">
      <c r="A7" s="16" t="s">
        <v>71</v>
      </c>
      <c r="B7" s="16" t="s">
        <v>75</v>
      </c>
      <c r="C7" s="16" t="n">
        <v>1</v>
      </c>
      <c r="D7" s="16" t="s">
        <v>59</v>
      </c>
      <c r="E7" s="17" t="n">
        <v>9</v>
      </c>
      <c r="F7" s="17" t="n">
        <v>12</v>
      </c>
      <c r="G7" s="17"/>
      <c r="H7" s="17"/>
      <c r="I7" s="16"/>
      <c r="J7" s="16"/>
      <c r="K7" s="16" t="s">
        <v>32</v>
      </c>
      <c r="L7" s="16" t="s">
        <v>60</v>
      </c>
      <c r="M7" s="16" t="s">
        <v>61</v>
      </c>
      <c r="N7" s="16" t="s">
        <v>61</v>
      </c>
      <c r="O7" s="16" t="s">
        <v>32</v>
      </c>
      <c r="P7" s="16" t="s">
        <v>76</v>
      </c>
      <c r="Q7" s="16" t="s">
        <v>74</v>
      </c>
      <c r="R7" s="16" t="s">
        <v>65</v>
      </c>
    </row>
    <row r="8" customFormat="false" ht="15" hidden="false" customHeight="false" outlineLevel="0" collapsed="false">
      <c r="A8" s="8" t="s">
        <v>71</v>
      </c>
      <c r="B8" s="8" t="s">
        <v>77</v>
      </c>
      <c r="C8" s="8" t="n">
        <v>2</v>
      </c>
      <c r="D8" s="8" t="s">
        <v>59</v>
      </c>
      <c r="E8" s="15" t="n">
        <v>12</v>
      </c>
      <c r="F8" s="15" t="n">
        <v>14</v>
      </c>
      <c r="G8" s="15"/>
      <c r="H8" s="15"/>
      <c r="I8" s="8"/>
      <c r="J8" s="8"/>
      <c r="K8" s="8" t="s">
        <v>32</v>
      </c>
      <c r="L8" s="8" t="s">
        <v>60</v>
      </c>
      <c r="M8" s="8" t="s">
        <v>61</v>
      </c>
      <c r="N8" s="8" t="s">
        <v>61</v>
      </c>
      <c r="O8" s="8" t="s">
        <v>62</v>
      </c>
      <c r="P8" s="8" t="s">
        <v>78</v>
      </c>
      <c r="Q8" s="8" t="s">
        <v>74</v>
      </c>
      <c r="R8" s="8" t="s">
        <v>65</v>
      </c>
    </row>
    <row r="9" customFormat="false" ht="15" hidden="false" customHeight="false" outlineLevel="0" collapsed="false">
      <c r="A9" s="16" t="s">
        <v>71</v>
      </c>
      <c r="B9" s="16" t="s">
        <v>58</v>
      </c>
      <c r="C9" s="16" t="n">
        <v>3</v>
      </c>
      <c r="D9" s="16" t="s">
        <v>59</v>
      </c>
      <c r="E9" s="17" t="n">
        <v>19</v>
      </c>
      <c r="F9" s="17" t="n">
        <v>24</v>
      </c>
      <c r="G9" s="17"/>
      <c r="H9" s="17"/>
      <c r="I9" s="16"/>
      <c r="J9" s="16"/>
      <c r="K9" s="16" t="s">
        <v>32</v>
      </c>
      <c r="L9" s="16" t="s">
        <v>60</v>
      </c>
      <c r="M9" s="16" t="s">
        <v>61</v>
      </c>
      <c r="N9" s="16" t="s">
        <v>61</v>
      </c>
      <c r="O9" s="16" t="s">
        <v>62</v>
      </c>
      <c r="P9" s="16"/>
      <c r="Q9" s="16" t="s">
        <v>74</v>
      </c>
      <c r="R9" s="16" t="s">
        <v>65</v>
      </c>
    </row>
    <row r="10" customFormat="false" ht="15" hidden="false" customHeight="false" outlineLevel="0" collapsed="false">
      <c r="A10" s="8" t="s">
        <v>71</v>
      </c>
      <c r="B10" s="8" t="s">
        <v>68</v>
      </c>
      <c r="C10" s="8" t="n">
        <v>4</v>
      </c>
      <c r="D10" s="8" t="s">
        <v>59</v>
      </c>
      <c r="E10" s="15"/>
      <c r="F10" s="15"/>
      <c r="G10" s="15"/>
      <c r="H10" s="15"/>
      <c r="I10" s="8"/>
      <c r="J10" s="8"/>
      <c r="K10" s="8" t="s">
        <v>32</v>
      </c>
      <c r="L10" s="8" t="s">
        <v>69</v>
      </c>
      <c r="M10" s="8" t="s">
        <v>61</v>
      </c>
      <c r="N10" s="8" t="s">
        <v>61</v>
      </c>
      <c r="O10" s="8" t="s">
        <v>62</v>
      </c>
      <c r="P10" s="8"/>
      <c r="Q10" s="8" t="s">
        <v>74</v>
      </c>
      <c r="R10" s="8" t="s">
        <v>65</v>
      </c>
    </row>
    <row r="11" customFormat="false" ht="15" hidden="false" customHeight="false" outlineLevel="0" collapsed="false">
      <c r="A11" s="16" t="s">
        <v>79</v>
      </c>
      <c r="B11" s="16" t="s">
        <v>80</v>
      </c>
      <c r="C11" s="16" t="n">
        <v>0</v>
      </c>
      <c r="D11" s="16" t="s">
        <v>59</v>
      </c>
      <c r="E11" s="17" t="n">
        <v>0</v>
      </c>
      <c r="F11" s="17" t="n">
        <v>0</v>
      </c>
      <c r="G11" s="17"/>
      <c r="H11" s="17"/>
      <c r="I11" s="16" t="n">
        <v>1</v>
      </c>
      <c r="J11" s="16"/>
      <c r="K11" s="16" t="s">
        <v>62</v>
      </c>
      <c r="L11" s="16" t="s">
        <v>60</v>
      </c>
      <c r="M11" s="16" t="s">
        <v>61</v>
      </c>
      <c r="N11" s="16" t="s">
        <v>61</v>
      </c>
      <c r="O11" s="16" t="s">
        <v>32</v>
      </c>
      <c r="P11" s="16" t="s">
        <v>81</v>
      </c>
      <c r="Q11" s="16" t="s">
        <v>82</v>
      </c>
      <c r="R11" s="16" t="s">
        <v>65</v>
      </c>
    </row>
    <row r="12" customFormat="false" ht="15" hidden="false" customHeight="false" outlineLevel="0" collapsed="false">
      <c r="A12" s="8" t="s">
        <v>79</v>
      </c>
      <c r="B12" s="8" t="s">
        <v>83</v>
      </c>
      <c r="C12" s="8" t="n">
        <v>1</v>
      </c>
      <c r="D12" s="8" t="s">
        <v>59</v>
      </c>
      <c r="E12" s="15" t="n">
        <v>7</v>
      </c>
      <c r="F12" s="15" t="n">
        <v>10</v>
      </c>
      <c r="G12" s="15"/>
      <c r="H12" s="15"/>
      <c r="I12" s="8" t="n">
        <v>1</v>
      </c>
      <c r="J12" s="8"/>
      <c r="K12" s="8" t="s">
        <v>32</v>
      </c>
      <c r="L12" s="8" t="s">
        <v>60</v>
      </c>
      <c r="M12" s="8" t="s">
        <v>61</v>
      </c>
      <c r="N12" s="8" t="s">
        <v>61</v>
      </c>
      <c r="O12" s="8" t="s">
        <v>62</v>
      </c>
      <c r="P12" s="8"/>
      <c r="Q12" s="8" t="s">
        <v>82</v>
      </c>
      <c r="R12" s="8" t="s">
        <v>65</v>
      </c>
    </row>
    <row r="13" customFormat="false" ht="15" hidden="false" customHeight="false" outlineLevel="0" collapsed="false">
      <c r="A13" s="16" t="s">
        <v>79</v>
      </c>
      <c r="B13" s="16" t="s">
        <v>66</v>
      </c>
      <c r="C13" s="16" t="n">
        <v>2</v>
      </c>
      <c r="D13" s="16" t="s">
        <v>59</v>
      </c>
      <c r="E13" s="17" t="n">
        <v>12</v>
      </c>
      <c r="F13" s="17" t="n">
        <v>19</v>
      </c>
      <c r="G13" s="17"/>
      <c r="H13" s="17"/>
      <c r="I13" s="16" t="n">
        <v>1</v>
      </c>
      <c r="J13" s="16"/>
      <c r="K13" s="16" t="s">
        <v>32</v>
      </c>
      <c r="L13" s="16" t="s">
        <v>60</v>
      </c>
      <c r="M13" s="16" t="s">
        <v>61</v>
      </c>
      <c r="N13" s="16" t="s">
        <v>61</v>
      </c>
      <c r="O13" s="16" t="s">
        <v>62</v>
      </c>
      <c r="P13" s="16" t="s">
        <v>84</v>
      </c>
      <c r="Q13" s="16" t="s">
        <v>82</v>
      </c>
      <c r="R13" s="16" t="s">
        <v>65</v>
      </c>
    </row>
    <row r="14" customFormat="false" ht="15" hidden="false" customHeight="false" outlineLevel="0" collapsed="false">
      <c r="A14" s="8" t="s">
        <v>79</v>
      </c>
      <c r="B14" s="8" t="s">
        <v>68</v>
      </c>
      <c r="C14" s="8" t="n">
        <v>3</v>
      </c>
      <c r="D14" s="8" t="s">
        <v>59</v>
      </c>
      <c r="E14" s="15"/>
      <c r="F14" s="15"/>
      <c r="G14" s="15"/>
      <c r="H14" s="15"/>
      <c r="I14" s="8"/>
      <c r="J14" s="8"/>
      <c r="K14" s="8" t="s">
        <v>32</v>
      </c>
      <c r="L14" s="8" t="s">
        <v>69</v>
      </c>
      <c r="M14" s="8" t="s">
        <v>62</v>
      </c>
      <c r="N14" s="8" t="s">
        <v>62</v>
      </c>
      <c r="O14" s="8" t="s">
        <v>62</v>
      </c>
      <c r="P14" s="8" t="s">
        <v>85</v>
      </c>
      <c r="Q14" s="8" t="s">
        <v>82</v>
      </c>
      <c r="R14" s="8" t="s">
        <v>65</v>
      </c>
    </row>
    <row r="15" customFormat="false" ht="15" hidden="false" customHeight="false" outlineLevel="0" collapsed="false">
      <c r="A15" s="16" t="s">
        <v>86</v>
      </c>
      <c r="B15" s="16" t="s">
        <v>72</v>
      </c>
      <c r="C15" s="16" t="n">
        <v>0</v>
      </c>
      <c r="D15" s="16" t="s">
        <v>59</v>
      </c>
      <c r="E15" s="17" t="n">
        <v>0</v>
      </c>
      <c r="F15" s="17" t="n">
        <v>0</v>
      </c>
      <c r="G15" s="17"/>
      <c r="H15" s="17"/>
      <c r="I15" s="16" t="n">
        <v>1</v>
      </c>
      <c r="J15" s="16" t="n">
        <v>10</v>
      </c>
      <c r="K15" s="16" t="s">
        <v>62</v>
      </c>
      <c r="L15" s="16" t="s">
        <v>60</v>
      </c>
      <c r="M15" s="16" t="s">
        <v>61</v>
      </c>
      <c r="N15" s="16" t="s">
        <v>61</v>
      </c>
      <c r="O15" s="16" t="s">
        <v>32</v>
      </c>
      <c r="P15" s="16" t="s">
        <v>87</v>
      </c>
      <c r="Q15" s="16" t="s">
        <v>88</v>
      </c>
      <c r="R15" s="16" t="s">
        <v>65</v>
      </c>
    </row>
    <row r="16" customFormat="false" ht="15" hidden="false" customHeight="false" outlineLevel="0" collapsed="false">
      <c r="A16" s="8" t="s">
        <v>86</v>
      </c>
      <c r="B16" s="8" t="s">
        <v>77</v>
      </c>
      <c r="C16" s="8" t="n">
        <v>1</v>
      </c>
      <c r="D16" s="8" t="s">
        <v>59</v>
      </c>
      <c r="E16" s="15" t="n">
        <v>5</v>
      </c>
      <c r="F16" s="15" t="n">
        <v>6</v>
      </c>
      <c r="G16" s="15"/>
      <c r="H16" s="15"/>
      <c r="I16" s="8" t="n">
        <v>1</v>
      </c>
      <c r="J16" s="8"/>
      <c r="K16" s="8" t="s">
        <v>32</v>
      </c>
      <c r="L16" s="8" t="s">
        <v>60</v>
      </c>
      <c r="M16" s="8" t="s">
        <v>61</v>
      </c>
      <c r="N16" s="8" t="s">
        <v>61</v>
      </c>
      <c r="O16" s="8" t="s">
        <v>32</v>
      </c>
      <c r="P16" s="8"/>
      <c r="Q16" s="8" t="s">
        <v>88</v>
      </c>
      <c r="R16" s="8" t="s">
        <v>65</v>
      </c>
    </row>
    <row r="17" customFormat="false" ht="15" hidden="false" customHeight="false" outlineLevel="0" collapsed="false">
      <c r="A17" s="16" t="s">
        <v>86</v>
      </c>
      <c r="B17" s="16" t="s">
        <v>89</v>
      </c>
      <c r="C17" s="16" t="n">
        <v>2</v>
      </c>
      <c r="D17" s="16" t="s">
        <v>59</v>
      </c>
      <c r="E17" s="17" t="n">
        <v>10</v>
      </c>
      <c r="F17" s="17" t="n">
        <v>12.5</v>
      </c>
      <c r="G17" s="17"/>
      <c r="H17" s="17"/>
      <c r="I17" s="16" t="n">
        <v>1</v>
      </c>
      <c r="J17" s="16"/>
      <c r="K17" s="16" t="s">
        <v>32</v>
      </c>
      <c r="L17" s="16" t="s">
        <v>60</v>
      </c>
      <c r="M17" s="16" t="s">
        <v>61</v>
      </c>
      <c r="N17" s="16" t="s">
        <v>61</v>
      </c>
      <c r="O17" s="16" t="s">
        <v>62</v>
      </c>
      <c r="P17" s="16"/>
      <c r="Q17" s="16" t="s">
        <v>88</v>
      </c>
      <c r="R17" s="16" t="s">
        <v>65</v>
      </c>
    </row>
    <row r="18" customFormat="false" ht="15" hidden="false" customHeight="false" outlineLevel="0" collapsed="false">
      <c r="A18" s="8" t="s">
        <v>86</v>
      </c>
      <c r="B18" s="8" t="s">
        <v>68</v>
      </c>
      <c r="C18" s="8" t="n">
        <v>3</v>
      </c>
      <c r="D18" s="8" t="s">
        <v>59</v>
      </c>
      <c r="E18" s="15" t="n">
        <v>17.5</v>
      </c>
      <c r="F18" s="15"/>
      <c r="G18" s="15"/>
      <c r="H18" s="15"/>
      <c r="I18" s="8" t="n">
        <v>50</v>
      </c>
      <c r="J18" s="8"/>
      <c r="K18" s="8" t="s">
        <v>32</v>
      </c>
      <c r="L18" s="8" t="s">
        <v>60</v>
      </c>
      <c r="M18" s="8" t="s">
        <v>62</v>
      </c>
      <c r="N18" s="8" t="s">
        <v>61</v>
      </c>
      <c r="O18" s="8" t="s">
        <v>62</v>
      </c>
      <c r="P18" s="8" t="s">
        <v>90</v>
      </c>
      <c r="Q18" s="8" t="s">
        <v>88</v>
      </c>
      <c r="R18" s="8" t="s">
        <v>65</v>
      </c>
    </row>
    <row r="19" customFormat="false" ht="15" hidden="false" customHeight="false" outlineLevel="0" collapsed="false">
      <c r="A19" s="16" t="s">
        <v>91</v>
      </c>
      <c r="B19" s="16" t="s">
        <v>92</v>
      </c>
      <c r="C19" s="16" t="n">
        <v>0</v>
      </c>
      <c r="D19" s="16" t="s">
        <v>59</v>
      </c>
      <c r="E19" s="17" t="n">
        <v>0</v>
      </c>
      <c r="F19" s="17" t="n">
        <v>0</v>
      </c>
      <c r="G19" s="17"/>
      <c r="H19" s="17"/>
      <c r="I19" s="16" t="n">
        <v>1</v>
      </c>
      <c r="J19" s="16"/>
      <c r="K19" s="16" t="s">
        <v>62</v>
      </c>
      <c r="L19" s="16" t="s">
        <v>60</v>
      </c>
      <c r="M19" s="16" t="s">
        <v>61</v>
      </c>
      <c r="N19" s="16" t="s">
        <v>61</v>
      </c>
      <c r="O19" s="16" t="s">
        <v>32</v>
      </c>
      <c r="P19" s="16"/>
      <c r="Q19" s="16" t="s">
        <v>93</v>
      </c>
      <c r="R19" s="16" t="s">
        <v>65</v>
      </c>
    </row>
    <row r="20" customFormat="false" ht="15" hidden="false" customHeight="false" outlineLevel="0" collapsed="false">
      <c r="A20" s="8" t="s">
        <v>91</v>
      </c>
      <c r="B20" s="8" t="s">
        <v>94</v>
      </c>
      <c r="C20" s="8" t="n">
        <v>1</v>
      </c>
      <c r="D20" s="8" t="s">
        <v>59</v>
      </c>
      <c r="E20" s="15" t="n">
        <v>10.99</v>
      </c>
      <c r="F20" s="15" t="n">
        <v>13.49</v>
      </c>
      <c r="G20" s="15"/>
      <c r="H20" s="15"/>
      <c r="I20" s="8" t="n">
        <v>1</v>
      </c>
      <c r="J20" s="8"/>
      <c r="K20" s="8" t="s">
        <v>32</v>
      </c>
      <c r="L20" s="8" t="s">
        <v>60</v>
      </c>
      <c r="M20" s="8" t="s">
        <v>61</v>
      </c>
      <c r="N20" s="8" t="s">
        <v>61</v>
      </c>
      <c r="O20" s="8" t="s">
        <v>62</v>
      </c>
      <c r="P20" s="8" t="s">
        <v>95</v>
      </c>
      <c r="Q20" s="8" t="s">
        <v>93</v>
      </c>
      <c r="R20" s="8" t="s">
        <v>65</v>
      </c>
    </row>
    <row r="21" customFormat="false" ht="15" hidden="false" customHeight="false" outlineLevel="0" collapsed="false">
      <c r="A21" s="16" t="s">
        <v>91</v>
      </c>
      <c r="B21" s="16" t="s">
        <v>96</v>
      </c>
      <c r="C21" s="16" t="n">
        <v>2</v>
      </c>
      <c r="D21" s="16" t="s">
        <v>59</v>
      </c>
      <c r="E21" s="17" t="n">
        <v>24.99</v>
      </c>
      <c r="F21" s="17" t="n">
        <v>30.49</v>
      </c>
      <c r="G21" s="17"/>
      <c r="H21" s="17"/>
      <c r="I21" s="16" t="n">
        <v>1</v>
      </c>
      <c r="J21" s="16"/>
      <c r="K21" s="16" t="s">
        <v>32</v>
      </c>
      <c r="L21" s="16" t="s">
        <v>60</v>
      </c>
      <c r="M21" s="16" t="s">
        <v>61</v>
      </c>
      <c r="N21" s="16" t="s">
        <v>61</v>
      </c>
      <c r="O21" s="16" t="s">
        <v>62</v>
      </c>
      <c r="P21" s="16"/>
      <c r="Q21" s="16" t="s">
        <v>93</v>
      </c>
      <c r="R21" s="16" t="s">
        <v>65</v>
      </c>
    </row>
    <row r="22" customFormat="false" ht="15" hidden="false" customHeight="false" outlineLevel="0" collapsed="false">
      <c r="A22" s="8" t="s">
        <v>91</v>
      </c>
      <c r="B22" s="8" t="s">
        <v>68</v>
      </c>
      <c r="C22" s="8" t="n">
        <v>3</v>
      </c>
      <c r="D22" s="8" t="s">
        <v>59</v>
      </c>
      <c r="E22" s="15"/>
      <c r="F22" s="15"/>
      <c r="G22" s="15"/>
      <c r="H22" s="15"/>
      <c r="I22" s="8"/>
      <c r="J22" s="8"/>
      <c r="K22" s="8" t="s">
        <v>32</v>
      </c>
      <c r="L22" s="8" t="s">
        <v>69</v>
      </c>
      <c r="M22" s="8" t="s">
        <v>62</v>
      </c>
      <c r="N22" s="8" t="s">
        <v>61</v>
      </c>
      <c r="O22" s="8" t="s">
        <v>62</v>
      </c>
      <c r="P22" s="8" t="s">
        <v>97</v>
      </c>
      <c r="Q22" s="8" t="s">
        <v>93</v>
      </c>
      <c r="R22" s="8" t="s">
        <v>65</v>
      </c>
    </row>
    <row r="23" customFormat="false" ht="15" hidden="false" customHeight="false" outlineLevel="0" collapsed="false">
      <c r="A23" s="16" t="s">
        <v>98</v>
      </c>
      <c r="B23" s="16" t="s">
        <v>72</v>
      </c>
      <c r="C23" s="16" t="n">
        <v>0</v>
      </c>
      <c r="D23" s="16" t="s">
        <v>59</v>
      </c>
      <c r="E23" s="17" t="n">
        <v>0</v>
      </c>
      <c r="F23" s="17" t="n">
        <v>0</v>
      </c>
      <c r="G23" s="17"/>
      <c r="H23" s="17"/>
      <c r="I23" s="16" t="n">
        <v>1</v>
      </c>
      <c r="J23" s="16"/>
      <c r="K23" s="16" t="s">
        <v>62</v>
      </c>
      <c r="L23" s="16" t="s">
        <v>60</v>
      </c>
      <c r="M23" s="16" t="s">
        <v>61</v>
      </c>
      <c r="N23" s="16" t="s">
        <v>61</v>
      </c>
      <c r="O23" s="16" t="s">
        <v>61</v>
      </c>
      <c r="P23" s="16"/>
      <c r="Q23" s="16" t="s">
        <v>99</v>
      </c>
      <c r="R23" s="16" t="s">
        <v>65</v>
      </c>
    </row>
    <row r="24" customFormat="false" ht="15" hidden="false" customHeight="false" outlineLevel="0" collapsed="false">
      <c r="A24" s="8" t="s">
        <v>98</v>
      </c>
      <c r="B24" s="8" t="s">
        <v>100</v>
      </c>
      <c r="C24" s="8" t="n">
        <v>1</v>
      </c>
      <c r="D24" s="8" t="s">
        <v>59</v>
      </c>
      <c r="E24" s="15" t="n">
        <v>10</v>
      </c>
      <c r="F24" s="15" t="n">
        <v>12</v>
      </c>
      <c r="G24" s="15"/>
      <c r="H24" s="15"/>
      <c r="I24" s="8" t="n">
        <v>1</v>
      </c>
      <c r="J24" s="8"/>
      <c r="K24" s="8" t="s">
        <v>32</v>
      </c>
      <c r="L24" s="8" t="s">
        <v>60</v>
      </c>
      <c r="M24" s="8" t="s">
        <v>61</v>
      </c>
      <c r="N24" s="8" t="s">
        <v>61</v>
      </c>
      <c r="O24" s="8" t="s">
        <v>61</v>
      </c>
      <c r="P24" s="8"/>
      <c r="Q24" s="8" t="s">
        <v>99</v>
      </c>
      <c r="R24" s="8" t="s">
        <v>65</v>
      </c>
    </row>
    <row r="25" customFormat="false" ht="15" hidden="false" customHeight="false" outlineLevel="0" collapsed="false">
      <c r="A25" s="16" t="s">
        <v>98</v>
      </c>
      <c r="B25" s="16" t="s">
        <v>66</v>
      </c>
      <c r="C25" s="16" t="n">
        <v>2</v>
      </c>
      <c r="D25" s="16" t="s">
        <v>59</v>
      </c>
      <c r="E25" s="17" t="n">
        <v>20</v>
      </c>
      <c r="F25" s="17" t="n">
        <v>24</v>
      </c>
      <c r="G25" s="17"/>
      <c r="H25" s="17"/>
      <c r="I25" s="16" t="n">
        <v>1</v>
      </c>
      <c r="J25" s="16"/>
      <c r="K25" s="16" t="s">
        <v>32</v>
      </c>
      <c r="L25" s="16" t="s">
        <v>60</v>
      </c>
      <c r="M25" s="16" t="s">
        <v>62</v>
      </c>
      <c r="N25" s="16" t="s">
        <v>61</v>
      </c>
      <c r="O25" s="16" t="s">
        <v>61</v>
      </c>
      <c r="P25" s="16" t="s">
        <v>101</v>
      </c>
      <c r="Q25" s="16" t="s">
        <v>99</v>
      </c>
      <c r="R25" s="16" t="s">
        <v>65</v>
      </c>
    </row>
    <row r="26" customFormat="false" ht="15" hidden="false" customHeight="false" outlineLevel="0" collapsed="false">
      <c r="A26" s="8" t="s">
        <v>98</v>
      </c>
      <c r="B26" s="8" t="s">
        <v>68</v>
      </c>
      <c r="C26" s="8" t="n">
        <v>3</v>
      </c>
      <c r="D26" s="8" t="s">
        <v>59</v>
      </c>
      <c r="E26" s="15"/>
      <c r="F26" s="15"/>
      <c r="G26" s="15"/>
      <c r="H26" s="15"/>
      <c r="I26" s="8"/>
      <c r="J26" s="8"/>
      <c r="K26" s="8" t="s">
        <v>32</v>
      </c>
      <c r="L26" s="8" t="s">
        <v>69</v>
      </c>
      <c r="M26" s="8" t="s">
        <v>62</v>
      </c>
      <c r="N26" s="8" t="s">
        <v>62</v>
      </c>
      <c r="O26" s="8" t="s">
        <v>61</v>
      </c>
      <c r="P26" s="8" t="s">
        <v>102</v>
      </c>
      <c r="Q26" s="8" t="s">
        <v>99</v>
      </c>
      <c r="R26" s="8" t="s">
        <v>65</v>
      </c>
    </row>
    <row r="27" customFormat="false" ht="15" hidden="false" customHeight="false" outlineLevel="0" collapsed="false">
      <c r="A27" s="16" t="s">
        <v>103</v>
      </c>
      <c r="B27" s="16" t="s">
        <v>72</v>
      </c>
      <c r="C27" s="16" t="n">
        <v>0</v>
      </c>
      <c r="D27" s="16" t="s">
        <v>59</v>
      </c>
      <c r="E27" s="17" t="n">
        <v>0</v>
      </c>
      <c r="F27" s="17" t="n">
        <v>0</v>
      </c>
      <c r="G27" s="17"/>
      <c r="H27" s="17"/>
      <c r="I27" s="16" t="n">
        <v>1</v>
      </c>
      <c r="J27" s="16"/>
      <c r="K27" s="16" t="s">
        <v>62</v>
      </c>
      <c r="L27" s="16" t="s">
        <v>60</v>
      </c>
      <c r="M27" s="16" t="s">
        <v>61</v>
      </c>
      <c r="N27" s="16" t="s">
        <v>61</v>
      </c>
      <c r="O27" s="16" t="s">
        <v>61</v>
      </c>
      <c r="P27" s="16"/>
      <c r="Q27" s="16" t="s">
        <v>104</v>
      </c>
      <c r="R27" s="16" t="s">
        <v>65</v>
      </c>
    </row>
    <row r="28" customFormat="false" ht="15" hidden="false" customHeight="false" outlineLevel="0" collapsed="false">
      <c r="A28" s="8" t="s">
        <v>103</v>
      </c>
      <c r="B28" s="8" t="s">
        <v>77</v>
      </c>
      <c r="C28" s="8" t="n">
        <v>1</v>
      </c>
      <c r="D28" s="8" t="s">
        <v>59</v>
      </c>
      <c r="E28" s="15" t="n">
        <v>7.5</v>
      </c>
      <c r="F28" s="15" t="n">
        <v>9.05</v>
      </c>
      <c r="G28" s="15"/>
      <c r="H28" s="15"/>
      <c r="I28" s="8" t="n">
        <v>1</v>
      </c>
      <c r="J28" s="8"/>
      <c r="K28" s="8" t="s">
        <v>32</v>
      </c>
      <c r="L28" s="8" t="s">
        <v>60</v>
      </c>
      <c r="M28" s="8" t="s">
        <v>61</v>
      </c>
      <c r="N28" s="8" t="s">
        <v>61</v>
      </c>
      <c r="O28" s="8" t="s">
        <v>61</v>
      </c>
      <c r="P28" s="8" t="s">
        <v>105</v>
      </c>
      <c r="Q28" s="8" t="s">
        <v>104</v>
      </c>
      <c r="R28" s="8" t="s">
        <v>65</v>
      </c>
    </row>
    <row r="29" customFormat="false" ht="15" hidden="false" customHeight="false" outlineLevel="0" collapsed="false">
      <c r="A29" s="16" t="s">
        <v>103</v>
      </c>
      <c r="B29" s="16" t="s">
        <v>89</v>
      </c>
      <c r="C29" s="16" t="n">
        <v>2</v>
      </c>
      <c r="D29" s="16" t="s">
        <v>59</v>
      </c>
      <c r="E29" s="17" t="n">
        <v>15.42</v>
      </c>
      <c r="F29" s="17" t="n">
        <v>18.3</v>
      </c>
      <c r="G29" s="17"/>
      <c r="H29" s="17"/>
      <c r="I29" s="16" t="n">
        <v>1</v>
      </c>
      <c r="J29" s="16"/>
      <c r="K29" s="16" t="s">
        <v>32</v>
      </c>
      <c r="L29" s="16" t="s">
        <v>60</v>
      </c>
      <c r="M29" s="16" t="s">
        <v>61</v>
      </c>
      <c r="N29" s="16" t="s">
        <v>61</v>
      </c>
      <c r="O29" s="16" t="s">
        <v>62</v>
      </c>
      <c r="P29" s="16" t="s">
        <v>106</v>
      </c>
      <c r="Q29" s="16" t="s">
        <v>104</v>
      </c>
      <c r="R29" s="16" t="s">
        <v>65</v>
      </c>
    </row>
    <row r="30" customFormat="false" ht="15" hidden="false" customHeight="false" outlineLevel="0" collapsed="false">
      <c r="A30" s="8" t="s">
        <v>103</v>
      </c>
      <c r="B30" s="8" t="s">
        <v>68</v>
      </c>
      <c r="C30" s="8" t="n">
        <v>3</v>
      </c>
      <c r="D30" s="8" t="s">
        <v>59</v>
      </c>
      <c r="E30" s="15"/>
      <c r="F30" s="15"/>
      <c r="G30" s="15"/>
      <c r="H30" s="15"/>
      <c r="I30" s="8"/>
      <c r="J30" s="8"/>
      <c r="K30" s="8" t="s">
        <v>32</v>
      </c>
      <c r="L30" s="8" t="s">
        <v>69</v>
      </c>
      <c r="M30" s="8" t="s">
        <v>61</v>
      </c>
      <c r="N30" s="8" t="s">
        <v>61</v>
      </c>
      <c r="O30" s="8" t="s">
        <v>62</v>
      </c>
      <c r="P30" s="8" t="s">
        <v>107</v>
      </c>
      <c r="Q30" s="8" t="s">
        <v>104</v>
      </c>
      <c r="R30" s="8" t="s">
        <v>65</v>
      </c>
    </row>
    <row r="31" customFormat="false" ht="15" hidden="false" customHeight="false" outlineLevel="0" collapsed="false">
      <c r="A31" s="16" t="s">
        <v>108</v>
      </c>
      <c r="B31" s="16" t="s">
        <v>72</v>
      </c>
      <c r="C31" s="16" t="n">
        <v>0</v>
      </c>
      <c r="D31" s="16" t="s">
        <v>109</v>
      </c>
      <c r="E31" s="17"/>
      <c r="F31" s="17"/>
      <c r="G31" s="17" t="n">
        <v>0</v>
      </c>
      <c r="H31" s="17" t="n">
        <v>0</v>
      </c>
      <c r="I31" s="16" t="n">
        <v>1</v>
      </c>
      <c r="J31" s="16" t="n">
        <v>5</v>
      </c>
      <c r="K31" s="16" t="s">
        <v>62</v>
      </c>
      <c r="L31" s="16" t="s">
        <v>60</v>
      </c>
      <c r="M31" s="16" t="s">
        <v>61</v>
      </c>
      <c r="N31" s="16" t="s">
        <v>61</v>
      </c>
      <c r="O31" s="16" t="s">
        <v>32</v>
      </c>
      <c r="P31" s="16" t="s">
        <v>110</v>
      </c>
      <c r="Q31" s="16" t="s">
        <v>111</v>
      </c>
      <c r="R31" s="16" t="s">
        <v>65</v>
      </c>
    </row>
    <row r="32" customFormat="false" ht="15" hidden="false" customHeight="false" outlineLevel="0" collapsed="false">
      <c r="A32" s="8" t="s">
        <v>108</v>
      </c>
      <c r="B32" s="8" t="s">
        <v>112</v>
      </c>
      <c r="C32" s="8" t="n">
        <v>1</v>
      </c>
      <c r="D32" s="8" t="s">
        <v>109</v>
      </c>
      <c r="E32" s="15"/>
      <c r="F32" s="15"/>
      <c r="G32" s="15" t="n">
        <v>250</v>
      </c>
      <c r="H32" s="15" t="n">
        <v>25</v>
      </c>
      <c r="I32" s="8" t="n">
        <v>1</v>
      </c>
      <c r="J32" s="8" t="n">
        <v>20</v>
      </c>
      <c r="K32" s="8" t="s">
        <v>32</v>
      </c>
      <c r="L32" s="8" t="s">
        <v>60</v>
      </c>
      <c r="M32" s="8" t="s">
        <v>61</v>
      </c>
      <c r="N32" s="8" t="s">
        <v>61</v>
      </c>
      <c r="O32" s="8" t="s">
        <v>32</v>
      </c>
      <c r="P32" s="8" t="s">
        <v>113</v>
      </c>
      <c r="Q32" s="8" t="s">
        <v>111</v>
      </c>
      <c r="R32" s="8" t="s">
        <v>65</v>
      </c>
    </row>
    <row r="33" customFormat="false" ht="15" hidden="false" customHeight="false" outlineLevel="0" collapsed="false">
      <c r="A33" s="16" t="s">
        <v>108</v>
      </c>
      <c r="B33" s="16" t="s">
        <v>114</v>
      </c>
      <c r="C33" s="16" t="n">
        <v>2</v>
      </c>
      <c r="D33" s="16" t="s">
        <v>109</v>
      </c>
      <c r="E33" s="17"/>
      <c r="F33" s="17"/>
      <c r="G33" s="17" t="n">
        <v>590</v>
      </c>
      <c r="H33" s="17" t="n">
        <v>59</v>
      </c>
      <c r="I33" s="16" t="n">
        <v>1</v>
      </c>
      <c r="J33" s="16"/>
      <c r="K33" s="16" t="s">
        <v>32</v>
      </c>
      <c r="L33" s="16" t="s">
        <v>60</v>
      </c>
      <c r="M33" s="16" t="s">
        <v>61</v>
      </c>
      <c r="N33" s="16" t="s">
        <v>61</v>
      </c>
      <c r="O33" s="16" t="s">
        <v>61</v>
      </c>
      <c r="P33" s="16" t="s">
        <v>115</v>
      </c>
      <c r="Q33" s="16" t="s">
        <v>111</v>
      </c>
      <c r="R33" s="16" t="s">
        <v>65</v>
      </c>
    </row>
    <row r="34" customFormat="false" ht="15" hidden="false" customHeight="false" outlineLevel="0" collapsed="false">
      <c r="A34" s="8" t="s">
        <v>108</v>
      </c>
      <c r="B34" s="8" t="s">
        <v>58</v>
      </c>
      <c r="C34" s="8" t="n">
        <v>3</v>
      </c>
      <c r="D34" s="8" t="s">
        <v>109</v>
      </c>
      <c r="E34" s="15"/>
      <c r="F34" s="15"/>
      <c r="G34" s="15" t="n">
        <v>990</v>
      </c>
      <c r="H34" s="15" t="n">
        <v>99</v>
      </c>
      <c r="I34" s="8" t="n">
        <v>1</v>
      </c>
      <c r="J34" s="8"/>
      <c r="K34" s="8" t="s">
        <v>32</v>
      </c>
      <c r="L34" s="8" t="s">
        <v>60</v>
      </c>
      <c r="M34" s="8" t="s">
        <v>61</v>
      </c>
      <c r="N34" s="8" t="s">
        <v>61</v>
      </c>
      <c r="O34" s="8" t="s">
        <v>61</v>
      </c>
      <c r="P34" s="8" t="s">
        <v>115</v>
      </c>
      <c r="Q34" s="8" t="s">
        <v>111</v>
      </c>
      <c r="R34" s="8" t="s">
        <v>65</v>
      </c>
    </row>
    <row r="35" customFormat="false" ht="15" hidden="false" customHeight="false" outlineLevel="0" collapsed="false">
      <c r="A35" s="16" t="s">
        <v>108</v>
      </c>
      <c r="B35" s="16" t="s">
        <v>116</v>
      </c>
      <c r="C35" s="16" t="n">
        <v>4</v>
      </c>
      <c r="D35" s="16" t="s">
        <v>109</v>
      </c>
      <c r="E35" s="17"/>
      <c r="F35" s="17"/>
      <c r="G35" s="17" t="n">
        <v>3588</v>
      </c>
      <c r="H35" s="17" t="n">
        <v>299</v>
      </c>
      <c r="I35" s="16" t="n">
        <v>1</v>
      </c>
      <c r="J35" s="16"/>
      <c r="K35" s="16" t="s">
        <v>32</v>
      </c>
      <c r="L35" s="16" t="s">
        <v>60</v>
      </c>
      <c r="M35" s="16" t="s">
        <v>61</v>
      </c>
      <c r="N35" s="16" t="s">
        <v>61</v>
      </c>
      <c r="O35" s="16" t="s">
        <v>61</v>
      </c>
      <c r="P35" s="16" t="s">
        <v>117</v>
      </c>
      <c r="Q35" s="16" t="s">
        <v>111</v>
      </c>
      <c r="R35" s="16" t="s">
        <v>65</v>
      </c>
    </row>
    <row r="36" customFormat="false" ht="15" hidden="false" customHeight="false" outlineLevel="0" collapsed="false">
      <c r="A36" s="8" t="s">
        <v>118</v>
      </c>
      <c r="B36" s="8" t="s">
        <v>72</v>
      </c>
      <c r="C36" s="8" t="n">
        <v>0</v>
      </c>
      <c r="D36" s="8" t="s">
        <v>59</v>
      </c>
      <c r="E36" s="15" t="n">
        <v>0</v>
      </c>
      <c r="F36" s="15" t="n">
        <v>0</v>
      </c>
      <c r="G36" s="15"/>
      <c r="H36" s="15"/>
      <c r="I36" s="8" t="n">
        <v>1</v>
      </c>
      <c r="J36" s="8"/>
      <c r="K36" s="8" t="s">
        <v>62</v>
      </c>
      <c r="L36" s="8" t="s">
        <v>60</v>
      </c>
      <c r="M36" s="8" t="s">
        <v>61</v>
      </c>
      <c r="N36" s="8" t="s">
        <v>61</v>
      </c>
      <c r="O36" s="8" t="s">
        <v>32</v>
      </c>
      <c r="P36" s="8"/>
      <c r="Q36" s="8" t="s">
        <v>119</v>
      </c>
      <c r="R36" s="8" t="s">
        <v>65</v>
      </c>
    </row>
    <row r="37" customFormat="false" ht="15" hidden="false" customHeight="false" outlineLevel="0" collapsed="false">
      <c r="A37" s="16" t="s">
        <v>118</v>
      </c>
      <c r="B37" s="16" t="s">
        <v>120</v>
      </c>
      <c r="C37" s="16" t="n">
        <v>1</v>
      </c>
      <c r="D37" s="16" t="s">
        <v>59</v>
      </c>
      <c r="E37" s="17" t="n">
        <v>10</v>
      </c>
      <c r="F37" s="17"/>
      <c r="G37" s="17"/>
      <c r="H37" s="17"/>
      <c r="I37" s="16" t="n">
        <v>2</v>
      </c>
      <c r="J37" s="16" t="n">
        <v>15</v>
      </c>
      <c r="K37" s="16" t="s">
        <v>32</v>
      </c>
      <c r="L37" s="16" t="s">
        <v>60</v>
      </c>
      <c r="M37" s="16" t="s">
        <v>61</v>
      </c>
      <c r="N37" s="16" t="s">
        <v>61</v>
      </c>
      <c r="O37" s="16" t="s">
        <v>61</v>
      </c>
      <c r="P37" s="16" t="s">
        <v>121</v>
      </c>
      <c r="Q37" s="16" t="s">
        <v>119</v>
      </c>
      <c r="R37" s="16" t="s">
        <v>65</v>
      </c>
    </row>
    <row r="38" customFormat="false" ht="15" hidden="false" customHeight="false" outlineLevel="0" collapsed="false">
      <c r="A38" s="8" t="s">
        <v>118</v>
      </c>
      <c r="B38" s="8" t="s">
        <v>66</v>
      </c>
      <c r="C38" s="8" t="n">
        <v>2</v>
      </c>
      <c r="D38" s="8" t="s">
        <v>59</v>
      </c>
      <c r="E38" s="15" t="n">
        <v>25</v>
      </c>
      <c r="F38" s="15"/>
      <c r="G38" s="15"/>
      <c r="H38" s="15"/>
      <c r="I38" s="8" t="n">
        <v>5</v>
      </c>
      <c r="J38" s="8" t="n">
        <v>200</v>
      </c>
      <c r="K38" s="8" t="s">
        <v>32</v>
      </c>
      <c r="L38" s="8" t="s">
        <v>60</v>
      </c>
      <c r="M38" s="8" t="s">
        <v>61</v>
      </c>
      <c r="N38" s="8" t="s">
        <v>61</v>
      </c>
      <c r="O38" s="8" t="s">
        <v>62</v>
      </c>
      <c r="P38" s="8" t="s">
        <v>122</v>
      </c>
      <c r="Q38" s="8" t="s">
        <v>119</v>
      </c>
      <c r="R38" s="8" t="s">
        <v>65</v>
      </c>
    </row>
    <row r="39" customFormat="false" ht="15" hidden="false" customHeight="false" outlineLevel="0" collapsed="false">
      <c r="A39" s="16" t="s">
        <v>118</v>
      </c>
      <c r="B39" s="16" t="s">
        <v>123</v>
      </c>
      <c r="C39" s="16" t="n">
        <v>3</v>
      </c>
      <c r="D39" s="16" t="s">
        <v>59</v>
      </c>
      <c r="E39" s="17"/>
      <c r="F39" s="17"/>
      <c r="G39" s="17"/>
      <c r="H39" s="17"/>
      <c r="I39" s="16"/>
      <c r="J39" s="16"/>
      <c r="K39" s="16" t="s">
        <v>32</v>
      </c>
      <c r="L39" s="16" t="s">
        <v>69</v>
      </c>
      <c r="M39" s="16" t="s">
        <v>62</v>
      </c>
      <c r="N39" s="16" t="s">
        <v>61</v>
      </c>
      <c r="O39" s="16" t="s">
        <v>62</v>
      </c>
      <c r="P39" s="16"/>
      <c r="Q39" s="16" t="s">
        <v>119</v>
      </c>
      <c r="R39" s="16" t="s">
        <v>65</v>
      </c>
    </row>
    <row r="40" customFormat="false" ht="15" hidden="false" customHeight="false" outlineLevel="0" collapsed="false">
      <c r="A40" s="8" t="s">
        <v>118</v>
      </c>
      <c r="B40" s="8" t="s">
        <v>124</v>
      </c>
      <c r="C40" s="8" t="n">
        <v>4</v>
      </c>
      <c r="D40" s="8" t="s">
        <v>59</v>
      </c>
      <c r="E40" s="15"/>
      <c r="F40" s="15"/>
      <c r="G40" s="15"/>
      <c r="H40" s="15"/>
      <c r="I40" s="8"/>
      <c r="J40" s="8"/>
      <c r="K40" s="8" t="s">
        <v>32</v>
      </c>
      <c r="L40" s="8" t="s">
        <v>69</v>
      </c>
      <c r="M40" s="8" t="s">
        <v>62</v>
      </c>
      <c r="N40" s="8" t="s">
        <v>61</v>
      </c>
      <c r="O40" s="8" t="s">
        <v>62</v>
      </c>
      <c r="P40" s="8"/>
      <c r="Q40" s="8" t="s">
        <v>119</v>
      </c>
      <c r="R40" s="8" t="s">
        <v>65</v>
      </c>
    </row>
    <row r="41" customFormat="false" ht="15" hidden="false" customHeight="false" outlineLevel="0" collapsed="false">
      <c r="A41" s="16" t="s">
        <v>125</v>
      </c>
      <c r="B41" s="16" t="s">
        <v>72</v>
      </c>
      <c r="C41" s="16" t="n">
        <v>0</v>
      </c>
      <c r="D41" s="16" t="s">
        <v>59</v>
      </c>
      <c r="E41" s="17" t="n">
        <v>0</v>
      </c>
      <c r="F41" s="17" t="n">
        <v>0</v>
      </c>
      <c r="G41" s="17"/>
      <c r="H41" s="17"/>
      <c r="I41" s="16" t="n">
        <v>1</v>
      </c>
      <c r="J41" s="16" t="n">
        <v>5</v>
      </c>
      <c r="K41" s="16" t="s">
        <v>62</v>
      </c>
      <c r="L41" s="16" t="s">
        <v>60</v>
      </c>
      <c r="M41" s="16" t="s">
        <v>32</v>
      </c>
      <c r="N41" s="16" t="s">
        <v>61</v>
      </c>
      <c r="O41" s="16" t="s">
        <v>61</v>
      </c>
      <c r="P41" s="16" t="s">
        <v>126</v>
      </c>
      <c r="Q41" s="16" t="s">
        <v>127</v>
      </c>
      <c r="R41" s="16" t="s">
        <v>65</v>
      </c>
    </row>
    <row r="42" customFormat="false" ht="15" hidden="false" customHeight="false" outlineLevel="0" collapsed="false">
      <c r="A42" s="8" t="s">
        <v>125</v>
      </c>
      <c r="B42" s="8" t="s">
        <v>128</v>
      </c>
      <c r="C42" s="8" t="n">
        <v>1</v>
      </c>
      <c r="D42" s="8" t="s">
        <v>59</v>
      </c>
      <c r="E42" s="15" t="n">
        <v>9.99</v>
      </c>
      <c r="F42" s="15" t="n">
        <v>13.99</v>
      </c>
      <c r="G42" s="15"/>
      <c r="H42" s="15"/>
      <c r="I42" s="8" t="n">
        <v>3</v>
      </c>
      <c r="J42" s="8"/>
      <c r="K42" s="8" t="s">
        <v>32</v>
      </c>
      <c r="L42" s="8" t="s">
        <v>60</v>
      </c>
      <c r="M42" s="8" t="s">
        <v>32</v>
      </c>
      <c r="N42" s="8" t="s">
        <v>61</v>
      </c>
      <c r="O42" s="8" t="s">
        <v>61</v>
      </c>
      <c r="P42" s="8" t="s">
        <v>129</v>
      </c>
      <c r="Q42" s="8" t="s">
        <v>127</v>
      </c>
      <c r="R42" s="8" t="s">
        <v>65</v>
      </c>
    </row>
    <row r="43" customFormat="false" ht="15" hidden="false" customHeight="false" outlineLevel="0" collapsed="false">
      <c r="A43" s="16" t="s">
        <v>125</v>
      </c>
      <c r="B43" s="16" t="s">
        <v>130</v>
      </c>
      <c r="C43" s="16" t="n">
        <v>2</v>
      </c>
      <c r="D43" s="16" t="s">
        <v>59</v>
      </c>
      <c r="E43" s="17" t="n">
        <v>24.99</v>
      </c>
      <c r="F43" s="17" t="n">
        <v>29.99</v>
      </c>
      <c r="G43" s="17"/>
      <c r="H43" s="17"/>
      <c r="I43" s="16" t="n">
        <v>3</v>
      </c>
      <c r="J43" s="16"/>
      <c r="K43" s="16" t="s">
        <v>32</v>
      </c>
      <c r="L43" s="16" t="s">
        <v>60</v>
      </c>
      <c r="M43" s="16" t="s">
        <v>32</v>
      </c>
      <c r="N43" s="16" t="s">
        <v>61</v>
      </c>
      <c r="O43" s="16" t="s">
        <v>61</v>
      </c>
      <c r="P43" s="16"/>
      <c r="Q43" s="16" t="s">
        <v>127</v>
      </c>
      <c r="R43" s="16" t="s">
        <v>65</v>
      </c>
    </row>
    <row r="44" customFormat="false" ht="15" hidden="false" customHeight="false" outlineLevel="0" collapsed="false">
      <c r="A44" s="8" t="s">
        <v>125</v>
      </c>
      <c r="B44" s="8" t="s">
        <v>131</v>
      </c>
      <c r="C44" s="8" t="n">
        <v>3</v>
      </c>
      <c r="D44" s="8" t="s">
        <v>59</v>
      </c>
      <c r="E44" s="15"/>
      <c r="F44" s="15"/>
      <c r="G44" s="15"/>
      <c r="H44" s="15"/>
      <c r="I44" s="8"/>
      <c r="J44" s="8"/>
      <c r="K44" s="8" t="s">
        <v>32</v>
      </c>
      <c r="L44" s="8" t="s">
        <v>69</v>
      </c>
      <c r="M44" s="8" t="s">
        <v>32</v>
      </c>
      <c r="N44" s="8" t="s">
        <v>61</v>
      </c>
      <c r="O44" s="8" t="s">
        <v>61</v>
      </c>
      <c r="P44" s="8"/>
      <c r="Q44" s="8" t="s">
        <v>127</v>
      </c>
      <c r="R44" s="8" t="s">
        <v>65</v>
      </c>
    </row>
    <row r="45" customFormat="false" ht="15" hidden="false" customHeight="false" outlineLevel="0" collapsed="false">
      <c r="A45" s="16" t="s">
        <v>125</v>
      </c>
      <c r="B45" s="16" t="s">
        <v>68</v>
      </c>
      <c r="C45" s="16" t="n">
        <v>4</v>
      </c>
      <c r="D45" s="16" t="s">
        <v>59</v>
      </c>
      <c r="E45" s="17"/>
      <c r="F45" s="17"/>
      <c r="G45" s="17"/>
      <c r="H45" s="17"/>
      <c r="I45" s="16"/>
      <c r="J45" s="16"/>
      <c r="K45" s="16" t="s">
        <v>32</v>
      </c>
      <c r="L45" s="16" t="s">
        <v>69</v>
      </c>
      <c r="M45" s="16" t="s">
        <v>62</v>
      </c>
      <c r="N45" s="16" t="s">
        <v>61</v>
      </c>
      <c r="O45" s="16" t="s">
        <v>61</v>
      </c>
      <c r="P45" s="16"/>
      <c r="Q45" s="16" t="s">
        <v>127</v>
      </c>
      <c r="R45" s="16" t="s">
        <v>65</v>
      </c>
    </row>
    <row r="46" customFormat="false" ht="15" hidden="false" customHeight="false" outlineLevel="0" collapsed="false">
      <c r="A46" s="8" t="s">
        <v>132</v>
      </c>
      <c r="B46" s="8" t="s">
        <v>133</v>
      </c>
      <c r="C46" s="8" t="n">
        <v>1</v>
      </c>
      <c r="D46" s="8" t="s">
        <v>134</v>
      </c>
      <c r="E46" s="15"/>
      <c r="F46" s="15"/>
      <c r="G46" s="15" t="n">
        <v>590</v>
      </c>
      <c r="H46" s="15" t="n">
        <v>59</v>
      </c>
      <c r="I46" s="8" t="n">
        <v>1</v>
      </c>
      <c r="J46" s="8" t="n">
        <v>11</v>
      </c>
      <c r="K46" s="8" t="s">
        <v>32</v>
      </c>
      <c r="L46" s="8" t="s">
        <v>60</v>
      </c>
      <c r="M46" s="8" t="s">
        <v>61</v>
      </c>
      <c r="N46" s="8" t="s">
        <v>61</v>
      </c>
      <c r="O46" s="8" t="s">
        <v>62</v>
      </c>
      <c r="P46" s="8" t="s">
        <v>135</v>
      </c>
      <c r="Q46" s="8" t="s">
        <v>136</v>
      </c>
      <c r="R46" s="8" t="s">
        <v>65</v>
      </c>
    </row>
    <row r="47" customFormat="false" ht="15" hidden="false" customHeight="false" outlineLevel="0" collapsed="false">
      <c r="A47" s="16" t="s">
        <v>132</v>
      </c>
      <c r="B47" s="16" t="s">
        <v>66</v>
      </c>
      <c r="C47" s="16" t="n">
        <v>2</v>
      </c>
      <c r="D47" s="16" t="s">
        <v>134</v>
      </c>
      <c r="E47" s="17"/>
      <c r="F47" s="17"/>
      <c r="G47" s="17"/>
      <c r="H47" s="17" t="n">
        <v>120</v>
      </c>
      <c r="I47" s="16" t="n">
        <v>1</v>
      </c>
      <c r="J47" s="16"/>
      <c r="K47" s="16" t="s">
        <v>32</v>
      </c>
      <c r="L47" s="16" t="s">
        <v>60</v>
      </c>
      <c r="M47" s="16" t="s">
        <v>61</v>
      </c>
      <c r="N47" s="16" t="s">
        <v>61</v>
      </c>
      <c r="O47" s="16" t="s">
        <v>62</v>
      </c>
      <c r="P47" s="16" t="s">
        <v>137</v>
      </c>
      <c r="Q47" s="16" t="s">
        <v>136</v>
      </c>
      <c r="R47" s="16" t="s">
        <v>65</v>
      </c>
    </row>
    <row r="48" customFormat="false" ht="15" hidden="false" customHeight="false" outlineLevel="0" collapsed="false">
      <c r="A48" s="8" t="s">
        <v>132</v>
      </c>
      <c r="B48" s="8" t="s">
        <v>138</v>
      </c>
      <c r="C48" s="8" t="n">
        <v>3</v>
      </c>
      <c r="D48" s="8" t="s">
        <v>134</v>
      </c>
      <c r="E48" s="15"/>
      <c r="F48" s="15"/>
      <c r="G48" s="15"/>
      <c r="H48" s="15" t="n">
        <v>199</v>
      </c>
      <c r="I48" s="8" t="n">
        <v>1</v>
      </c>
      <c r="J48" s="8"/>
      <c r="K48" s="8" t="s">
        <v>32</v>
      </c>
      <c r="L48" s="8" t="s">
        <v>60</v>
      </c>
      <c r="M48" s="8" t="s">
        <v>61</v>
      </c>
      <c r="N48" s="8" t="s">
        <v>61</v>
      </c>
      <c r="O48" s="8" t="s">
        <v>62</v>
      </c>
      <c r="P48" s="8" t="s">
        <v>139</v>
      </c>
      <c r="Q48" s="8" t="s">
        <v>136</v>
      </c>
      <c r="R48" s="8" t="s">
        <v>65</v>
      </c>
    </row>
    <row r="49" customFormat="false" ht="15" hidden="false" customHeight="false" outlineLevel="0" collapsed="false">
      <c r="A49" s="16" t="s">
        <v>140</v>
      </c>
      <c r="B49" s="16" t="s">
        <v>72</v>
      </c>
      <c r="C49" s="16" t="n">
        <v>0</v>
      </c>
      <c r="D49" s="16" t="s">
        <v>59</v>
      </c>
      <c r="E49" s="17" t="n">
        <v>0</v>
      </c>
      <c r="F49" s="17" t="n">
        <v>0</v>
      </c>
      <c r="G49" s="17"/>
      <c r="H49" s="17"/>
      <c r="I49" s="16" t="n">
        <v>1</v>
      </c>
      <c r="J49" s="16" t="n">
        <v>10</v>
      </c>
      <c r="K49" s="16" t="s">
        <v>62</v>
      </c>
      <c r="L49" s="16" t="s">
        <v>60</v>
      </c>
      <c r="M49" s="16" t="s">
        <v>61</v>
      </c>
      <c r="N49" s="16" t="s">
        <v>61</v>
      </c>
      <c r="O49" s="16" t="s">
        <v>32</v>
      </c>
      <c r="P49" s="16" t="s">
        <v>141</v>
      </c>
      <c r="Q49" s="16" t="s">
        <v>142</v>
      </c>
      <c r="R49" s="16" t="s">
        <v>65</v>
      </c>
    </row>
    <row r="50" customFormat="false" ht="15" hidden="false" customHeight="false" outlineLevel="0" collapsed="false">
      <c r="A50" s="8" t="s">
        <v>140</v>
      </c>
      <c r="B50" s="8" t="s">
        <v>94</v>
      </c>
      <c r="C50" s="8" t="n">
        <v>1</v>
      </c>
      <c r="D50" s="8" t="s">
        <v>59</v>
      </c>
      <c r="E50" s="15" t="n">
        <v>5</v>
      </c>
      <c r="F50" s="15" t="n">
        <v>7</v>
      </c>
      <c r="G50" s="15"/>
      <c r="H50" s="15"/>
      <c r="I50" s="8" t="n">
        <v>1</v>
      </c>
      <c r="J50" s="8" t="n">
        <v>10</v>
      </c>
      <c r="K50" s="8" t="s">
        <v>32</v>
      </c>
      <c r="L50" s="8" t="s">
        <v>60</v>
      </c>
      <c r="M50" s="8" t="s">
        <v>61</v>
      </c>
      <c r="N50" s="8" t="s">
        <v>61</v>
      </c>
      <c r="O50" s="8" t="s">
        <v>62</v>
      </c>
      <c r="P50" s="8" t="s">
        <v>143</v>
      </c>
      <c r="Q50" s="8" t="s">
        <v>142</v>
      </c>
      <c r="R50" s="8" t="s">
        <v>65</v>
      </c>
    </row>
    <row r="51" customFormat="false" ht="15" hidden="false" customHeight="false" outlineLevel="0" collapsed="false">
      <c r="A51" s="16" t="s">
        <v>140</v>
      </c>
      <c r="B51" s="16" t="s">
        <v>144</v>
      </c>
      <c r="C51" s="16" t="n">
        <v>2</v>
      </c>
      <c r="D51" s="16" t="s">
        <v>59</v>
      </c>
      <c r="E51" s="17" t="n">
        <v>12</v>
      </c>
      <c r="F51" s="17" t="n">
        <v>18</v>
      </c>
      <c r="G51" s="17"/>
      <c r="H51" s="17"/>
      <c r="I51" s="16" t="n">
        <v>1</v>
      </c>
      <c r="J51" s="16"/>
      <c r="K51" s="16" t="s">
        <v>32</v>
      </c>
      <c r="L51" s="16" t="s">
        <v>60</v>
      </c>
      <c r="M51" s="16" t="s">
        <v>61</v>
      </c>
      <c r="N51" s="16" t="s">
        <v>61</v>
      </c>
      <c r="O51" s="16" t="s">
        <v>62</v>
      </c>
      <c r="P51" s="16" t="s">
        <v>145</v>
      </c>
      <c r="Q51" s="16" t="s">
        <v>142</v>
      </c>
      <c r="R51" s="16" t="s">
        <v>65</v>
      </c>
    </row>
    <row r="52" customFormat="false" ht="15" hidden="false" customHeight="false" outlineLevel="0" collapsed="false">
      <c r="A52" s="8" t="s">
        <v>140</v>
      </c>
      <c r="B52" s="8" t="s">
        <v>68</v>
      </c>
      <c r="C52" s="8" t="n">
        <v>3</v>
      </c>
      <c r="D52" s="8" t="s">
        <v>59</v>
      </c>
      <c r="E52" s="15"/>
      <c r="F52" s="15"/>
      <c r="G52" s="15"/>
      <c r="H52" s="15"/>
      <c r="I52" s="8"/>
      <c r="J52" s="8"/>
      <c r="K52" s="8" t="s">
        <v>32</v>
      </c>
      <c r="L52" s="8" t="s">
        <v>69</v>
      </c>
      <c r="M52" s="8" t="s">
        <v>62</v>
      </c>
      <c r="N52" s="8" t="s">
        <v>61</v>
      </c>
      <c r="O52" s="8" t="s">
        <v>62</v>
      </c>
      <c r="P52" s="8" t="s">
        <v>146</v>
      </c>
      <c r="Q52" s="8" t="s">
        <v>142</v>
      </c>
      <c r="R52" s="8" t="s">
        <v>65</v>
      </c>
    </row>
    <row r="53" customFormat="false" ht="15" hidden="false" customHeight="false" outlineLevel="0" collapsed="false">
      <c r="A53" s="16" t="s">
        <v>147</v>
      </c>
      <c r="B53" s="16" t="s">
        <v>72</v>
      </c>
      <c r="C53" s="16" t="n">
        <v>0</v>
      </c>
      <c r="D53" s="16" t="s">
        <v>59</v>
      </c>
      <c r="E53" s="17" t="n">
        <v>0</v>
      </c>
      <c r="F53" s="17" t="n">
        <v>0</v>
      </c>
      <c r="G53" s="17"/>
      <c r="H53" s="17"/>
      <c r="I53" s="16" t="n">
        <v>1</v>
      </c>
      <c r="J53" s="16" t="n">
        <v>5</v>
      </c>
      <c r="K53" s="16" t="s">
        <v>62</v>
      </c>
      <c r="L53" s="16" t="s">
        <v>60</v>
      </c>
      <c r="M53" s="16" t="s">
        <v>61</v>
      </c>
      <c r="N53" s="16" t="s">
        <v>61</v>
      </c>
      <c r="O53" s="16" t="s">
        <v>32</v>
      </c>
      <c r="P53" s="16" t="s">
        <v>148</v>
      </c>
      <c r="Q53" s="16" t="s">
        <v>149</v>
      </c>
      <c r="R53" s="16" t="s">
        <v>65</v>
      </c>
    </row>
    <row r="54" customFormat="false" ht="15" hidden="false" customHeight="false" outlineLevel="0" collapsed="false">
      <c r="A54" s="8" t="s">
        <v>147</v>
      </c>
      <c r="B54" s="8" t="s">
        <v>89</v>
      </c>
      <c r="C54" s="8" t="n">
        <v>1</v>
      </c>
      <c r="D54" s="8" t="s">
        <v>59</v>
      </c>
      <c r="E54" s="15" t="n">
        <v>4</v>
      </c>
      <c r="F54" s="15" t="n">
        <v>5</v>
      </c>
      <c r="G54" s="15"/>
      <c r="H54" s="15"/>
      <c r="I54" s="8" t="n">
        <v>1</v>
      </c>
      <c r="J54" s="8"/>
      <c r="K54" s="8" t="s">
        <v>32</v>
      </c>
      <c r="L54" s="8" t="s">
        <v>60</v>
      </c>
      <c r="M54" s="8" t="s">
        <v>61</v>
      </c>
      <c r="N54" s="8" t="s">
        <v>61</v>
      </c>
      <c r="O54" s="8" t="s">
        <v>62</v>
      </c>
      <c r="P54" s="8"/>
      <c r="Q54" s="8" t="s">
        <v>149</v>
      </c>
      <c r="R54" s="8" t="s">
        <v>65</v>
      </c>
    </row>
    <row r="55" customFormat="false" ht="15" hidden="false" customHeight="false" outlineLevel="0" collapsed="false">
      <c r="A55" s="16" t="s">
        <v>147</v>
      </c>
      <c r="B55" s="16" t="s">
        <v>68</v>
      </c>
      <c r="C55" s="16" t="n">
        <v>2</v>
      </c>
      <c r="D55" s="16" t="s">
        <v>59</v>
      </c>
      <c r="E55" s="17" t="n">
        <v>9</v>
      </c>
      <c r="F55" s="17" t="n">
        <v>10</v>
      </c>
      <c r="G55" s="17"/>
      <c r="H55" s="17"/>
      <c r="I55" s="16" t="n">
        <v>1</v>
      </c>
      <c r="J55" s="16"/>
      <c r="K55" s="16" t="s">
        <v>32</v>
      </c>
      <c r="L55" s="16" t="s">
        <v>60</v>
      </c>
      <c r="M55" s="16" t="s">
        <v>62</v>
      </c>
      <c r="N55" s="16" t="s">
        <v>61</v>
      </c>
      <c r="O55" s="16" t="s">
        <v>62</v>
      </c>
      <c r="P55" s="16" t="s">
        <v>150</v>
      </c>
      <c r="Q55" s="16" t="s">
        <v>149</v>
      </c>
      <c r="R55" s="16" t="s">
        <v>65</v>
      </c>
    </row>
    <row r="56" customFormat="false" ht="15" hidden="false" customHeight="false" outlineLevel="0" collapsed="false">
      <c r="A56" s="8" t="s">
        <v>147</v>
      </c>
      <c r="B56" s="8" t="s">
        <v>151</v>
      </c>
      <c r="C56" s="8" t="n">
        <v>3</v>
      </c>
      <c r="D56" s="8" t="s">
        <v>59</v>
      </c>
      <c r="E56" s="15" t="n">
        <v>14</v>
      </c>
      <c r="F56" s="15" t="n">
        <v>15</v>
      </c>
      <c r="G56" s="15"/>
      <c r="H56" s="15"/>
      <c r="I56" s="8" t="n">
        <v>1</v>
      </c>
      <c r="J56" s="8"/>
      <c r="K56" s="8" t="s">
        <v>32</v>
      </c>
      <c r="L56" s="8" t="s">
        <v>60</v>
      </c>
      <c r="M56" s="8" t="s">
        <v>62</v>
      </c>
      <c r="N56" s="8" t="s">
        <v>61</v>
      </c>
      <c r="O56" s="8" t="s">
        <v>62</v>
      </c>
      <c r="P56" s="8"/>
      <c r="Q56" s="8" t="s">
        <v>149</v>
      </c>
      <c r="R56" s="8" t="s">
        <v>65</v>
      </c>
    </row>
    <row r="57" customFormat="false" ht="15" hidden="false" customHeight="false" outlineLevel="0" collapsed="false">
      <c r="A57" s="16" t="s">
        <v>152</v>
      </c>
      <c r="B57" s="16" t="s">
        <v>153</v>
      </c>
      <c r="C57" s="16" t="n">
        <v>1</v>
      </c>
      <c r="D57" s="16" t="s">
        <v>59</v>
      </c>
      <c r="E57" s="17" t="n">
        <v>7</v>
      </c>
      <c r="F57" s="17"/>
      <c r="G57" s="17"/>
      <c r="H57" s="17"/>
      <c r="I57" s="16" t="n">
        <v>1</v>
      </c>
      <c r="J57" s="16"/>
      <c r="K57" s="16" t="s">
        <v>32</v>
      </c>
      <c r="L57" s="16" t="s">
        <v>60</v>
      </c>
      <c r="M57" s="16" t="s">
        <v>61</v>
      </c>
      <c r="N57" s="16" t="s">
        <v>61</v>
      </c>
      <c r="O57" s="16" t="s">
        <v>62</v>
      </c>
      <c r="P57" s="16" t="s">
        <v>154</v>
      </c>
      <c r="Q57" s="16" t="s">
        <v>155</v>
      </c>
      <c r="R57" s="16" t="s">
        <v>65</v>
      </c>
    </row>
    <row r="58" customFormat="false" ht="15" hidden="false" customHeight="false" outlineLevel="0" collapsed="false">
      <c r="A58" s="8" t="s">
        <v>152</v>
      </c>
      <c r="B58" s="8" t="s">
        <v>96</v>
      </c>
      <c r="C58" s="8" t="n">
        <v>2</v>
      </c>
      <c r="D58" s="8" t="s">
        <v>59</v>
      </c>
      <c r="E58" s="15" t="n">
        <v>10</v>
      </c>
      <c r="F58" s="15"/>
      <c r="G58" s="15"/>
      <c r="H58" s="15"/>
      <c r="I58" s="8" t="n">
        <v>1</v>
      </c>
      <c r="J58" s="8"/>
      <c r="K58" s="8" t="s">
        <v>32</v>
      </c>
      <c r="L58" s="8" t="s">
        <v>60</v>
      </c>
      <c r="M58" s="8" t="s">
        <v>61</v>
      </c>
      <c r="N58" s="8" t="s">
        <v>61</v>
      </c>
      <c r="O58" s="8" t="s">
        <v>62</v>
      </c>
      <c r="P58" s="8" t="s">
        <v>156</v>
      </c>
      <c r="Q58" s="8" t="s">
        <v>155</v>
      </c>
      <c r="R58" s="8" t="s">
        <v>65</v>
      </c>
    </row>
    <row r="59" customFormat="false" ht="15" hidden="false" customHeight="false" outlineLevel="0" collapsed="false">
      <c r="A59" s="16" t="s">
        <v>152</v>
      </c>
      <c r="B59" s="16" t="s">
        <v>66</v>
      </c>
      <c r="C59" s="16" t="n">
        <v>3</v>
      </c>
      <c r="D59" s="16" t="s">
        <v>59</v>
      </c>
      <c r="E59" s="17" t="n">
        <v>17</v>
      </c>
      <c r="F59" s="17"/>
      <c r="G59" s="17"/>
      <c r="H59" s="17"/>
      <c r="I59" s="16" t="n">
        <v>1</v>
      </c>
      <c r="J59" s="16"/>
      <c r="K59" s="16" t="s">
        <v>32</v>
      </c>
      <c r="L59" s="16" t="s">
        <v>60</v>
      </c>
      <c r="M59" s="16" t="s">
        <v>61</v>
      </c>
      <c r="N59" s="16" t="s">
        <v>61</v>
      </c>
      <c r="O59" s="16" t="s">
        <v>62</v>
      </c>
      <c r="P59" s="16" t="s">
        <v>157</v>
      </c>
      <c r="Q59" s="16" t="s">
        <v>155</v>
      </c>
      <c r="R59" s="16" t="s">
        <v>65</v>
      </c>
    </row>
    <row r="60" customFormat="false" ht="15" hidden="false" customHeight="false" outlineLevel="0" collapsed="false">
      <c r="A60" s="8" t="s">
        <v>152</v>
      </c>
      <c r="B60" s="8" t="s">
        <v>68</v>
      </c>
      <c r="C60" s="8" t="n">
        <v>4</v>
      </c>
      <c r="D60" s="8" t="s">
        <v>59</v>
      </c>
      <c r="E60" s="15" t="n">
        <v>20</v>
      </c>
      <c r="F60" s="15"/>
      <c r="G60" s="15"/>
      <c r="H60" s="15"/>
      <c r="I60" s="8" t="n">
        <v>5</v>
      </c>
      <c r="J60" s="8"/>
      <c r="K60" s="8" t="s">
        <v>32</v>
      </c>
      <c r="L60" s="8" t="s">
        <v>60</v>
      </c>
      <c r="M60" s="8" t="s">
        <v>62</v>
      </c>
      <c r="N60" s="8" t="s">
        <v>61</v>
      </c>
      <c r="O60" s="8" t="s">
        <v>62</v>
      </c>
      <c r="P60" s="8" t="s">
        <v>158</v>
      </c>
      <c r="Q60" s="8" t="s">
        <v>155</v>
      </c>
      <c r="R60" s="8" t="s">
        <v>65</v>
      </c>
    </row>
    <row r="61" customFormat="false" ht="15" hidden="false" customHeight="false" outlineLevel="0" collapsed="false">
      <c r="A61" s="16" t="s">
        <v>159</v>
      </c>
      <c r="B61" s="16" t="s">
        <v>72</v>
      </c>
      <c r="C61" s="16" t="n">
        <v>0</v>
      </c>
      <c r="D61" s="16" t="s">
        <v>59</v>
      </c>
      <c r="E61" s="17" t="n">
        <v>0</v>
      </c>
      <c r="F61" s="17" t="n">
        <v>0</v>
      </c>
      <c r="G61" s="17"/>
      <c r="H61" s="17"/>
      <c r="I61" s="16" t="n">
        <v>1</v>
      </c>
      <c r="J61" s="16" t="n">
        <v>5</v>
      </c>
      <c r="K61" s="16" t="s">
        <v>62</v>
      </c>
      <c r="L61" s="16" t="s">
        <v>60</v>
      </c>
      <c r="M61" s="16" t="s">
        <v>61</v>
      </c>
      <c r="N61" s="16" t="s">
        <v>61</v>
      </c>
      <c r="O61" s="16" t="s">
        <v>61</v>
      </c>
      <c r="P61" s="16" t="s">
        <v>148</v>
      </c>
      <c r="Q61" s="16" t="s">
        <v>160</v>
      </c>
      <c r="R61" s="16" t="s">
        <v>65</v>
      </c>
    </row>
    <row r="62" customFormat="false" ht="15" hidden="false" customHeight="false" outlineLevel="0" collapsed="false">
      <c r="A62" s="8" t="s">
        <v>159</v>
      </c>
      <c r="B62" s="8" t="s">
        <v>66</v>
      </c>
      <c r="C62" s="8" t="n">
        <v>1</v>
      </c>
      <c r="D62" s="8" t="s">
        <v>59</v>
      </c>
      <c r="E62" s="15" t="n">
        <v>10</v>
      </c>
      <c r="F62" s="15" t="n">
        <v>12</v>
      </c>
      <c r="G62" s="15"/>
      <c r="H62" s="15"/>
      <c r="I62" s="8" t="n">
        <v>5</v>
      </c>
      <c r="J62" s="8"/>
      <c r="K62" s="8" t="s">
        <v>32</v>
      </c>
      <c r="L62" s="8" t="s">
        <v>60</v>
      </c>
      <c r="M62" s="8" t="s">
        <v>61</v>
      </c>
      <c r="N62" s="8" t="s">
        <v>61</v>
      </c>
      <c r="O62" s="8" t="s">
        <v>61</v>
      </c>
      <c r="P62" s="8" t="s">
        <v>161</v>
      </c>
      <c r="Q62" s="8" t="s">
        <v>160</v>
      </c>
      <c r="R62" s="8" t="s">
        <v>65</v>
      </c>
    </row>
    <row r="63" customFormat="false" ht="15" hidden="false" customHeight="false" outlineLevel="0" collapsed="false">
      <c r="A63" s="16" t="s">
        <v>159</v>
      </c>
      <c r="B63" s="16" t="s">
        <v>68</v>
      </c>
      <c r="C63" s="16" t="n">
        <v>2</v>
      </c>
      <c r="D63" s="16" t="s">
        <v>59</v>
      </c>
      <c r="E63" s="17" t="n">
        <v>26</v>
      </c>
      <c r="F63" s="17"/>
      <c r="G63" s="17"/>
      <c r="H63" s="17"/>
      <c r="I63" s="16" t="n">
        <v>5</v>
      </c>
      <c r="J63" s="16"/>
      <c r="K63" s="16" t="s">
        <v>32</v>
      </c>
      <c r="L63" s="16" t="s">
        <v>60</v>
      </c>
      <c r="M63" s="16" t="s">
        <v>62</v>
      </c>
      <c r="N63" s="16" t="s">
        <v>62</v>
      </c>
      <c r="O63" s="16" t="s">
        <v>61</v>
      </c>
      <c r="P63" s="16" t="s">
        <v>162</v>
      </c>
      <c r="Q63" s="16" t="s">
        <v>160</v>
      </c>
      <c r="R63" s="16"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11"/>
    <col collapsed="false" customWidth="true" hidden="false" outlineLevel="0" max="5" min="4" style="0" width="12"/>
    <col collapsed="false" customWidth="true" hidden="false" outlineLevel="0" max="6" min="6" style="0" width="13"/>
    <col collapsed="false" customWidth="true" hidden="false" outlineLevel="0" max="7" min="7" style="0" width="10"/>
    <col collapsed="false" customWidth="true" hidden="false" outlineLevel="0" max="8" min="8" style="0" width="13"/>
    <col collapsed="false" customWidth="true" hidden="false" outlineLevel="0" max="9" min="9" style="0" width="14"/>
    <col collapsed="false" customWidth="true" hidden="false" outlineLevel="0" max="10" min="10" style="0" width="46"/>
  </cols>
  <sheetData>
    <row r="1" customFormat="false" ht="23.85" hidden="false" customHeight="false" outlineLevel="0" collapsed="false">
      <c r="A1" s="14" t="s">
        <v>39</v>
      </c>
      <c r="B1" s="14" t="s">
        <v>40</v>
      </c>
      <c r="C1" s="14" t="s">
        <v>163</v>
      </c>
      <c r="D1" s="14" t="s">
        <v>164</v>
      </c>
      <c r="E1" s="14" t="s">
        <v>165</v>
      </c>
      <c r="F1" s="14" t="s">
        <v>166</v>
      </c>
      <c r="G1" s="14" t="s">
        <v>167</v>
      </c>
      <c r="H1" s="14" t="s">
        <v>168</v>
      </c>
      <c r="I1" s="14" t="s">
        <v>169</v>
      </c>
      <c r="J1" s="14" t="s">
        <v>170</v>
      </c>
    </row>
    <row r="2" customFormat="false" ht="15" hidden="false" customHeight="false" outlineLevel="0" collapsed="false">
      <c r="A2" s="18" t="str">
        <f aca="false">Tiers!A2</f>
        <v>Smartsheet</v>
      </c>
      <c r="B2" s="18" t="str">
        <f aca="false">Tiers!B2</f>
        <v>Pro</v>
      </c>
      <c r="C2" s="8" t="n">
        <f aca="false">MAX(Inputs!$B$5,IF(Tiers!I2="",1,Tiers!I2))</f>
        <v>25</v>
      </c>
      <c r="D2" s="8" t="n">
        <f aca="false">IF(Tiers!J2="",1,IF(Inputs!$B$5&lt;=Tiers!J2,1,0))</f>
        <v>0</v>
      </c>
      <c r="E2" s="8" t="n">
        <f aca="false">IF(Tiers!L2="public",1,0)</f>
        <v>1</v>
      </c>
      <c r="F2" s="8" t="n">
        <f aca="false">IF(AND(IF(Inputs!$B$11="yes",Tiers!M2="yes",TRUE()),IF(Inputs!$B$12="yes",Tiers!N2="yes",TRUE()),IF(Inputs!$B$13="yes",Tiers!O2="yes",TRUE())),1,0)</f>
        <v>1</v>
      </c>
      <c r="G2" s="8" t="n">
        <f aca="false">IF(Tiers!K2="yes",0,D2*E2*F2)</f>
        <v>0</v>
      </c>
      <c r="H2" s="15" t="str">
        <f aca="false">IF(G2=0,"",IF(Tiers!D2="per_seat",  IF(Inputs!$B$8="annual",IF(Tiers!E2="","",Tiers!E2*C2),                            IF(Tiers!F2="","",Tiers!F2*C2)),IF(Tiers!D2="flat",  IF(Inputs!$B$8="annual",IF(Tiers!G2="","",Tiers!G2/12),                            IF(Tiers!H2="","",Tiers!H2)),"")))</f>
        <v/>
      </c>
      <c r="I2" s="19" t="str">
        <f aca="false">IF(H2="","",H2*Inputs!$B$7)</f>
        <v/>
      </c>
      <c r="J2" s="8" t="str">
        <f aca="false">IF(Tiers!K2="yes","free tier, excluded from the paid comparison",IF(D2=0,"team is larger than this tier's seat cap",IF(E2=0,"no published price, contact sales",IF(F2=0,"does not meet a required capability",IF(H2="","not priced on the chosen billing cadence","")))))</f>
        <v>team is larger than this tier's seat cap</v>
      </c>
    </row>
    <row r="3" customFormat="false" ht="15" hidden="false" customHeight="false" outlineLevel="0" collapsed="false">
      <c r="A3" s="20" t="str">
        <f aca="false">Tiers!A3</f>
        <v>Smartsheet</v>
      </c>
      <c r="B3" s="20" t="str">
        <f aca="false">Tiers!B3</f>
        <v>Business</v>
      </c>
      <c r="C3" s="16" t="n">
        <f aca="false">MAX(Inputs!$B$5,IF(Tiers!I3="",1,Tiers!I3))</f>
        <v>25</v>
      </c>
      <c r="D3" s="16" t="n">
        <f aca="false">IF(Tiers!J3="",1,IF(Inputs!$B$5&lt;=Tiers!J3,1,0))</f>
        <v>1</v>
      </c>
      <c r="E3" s="16" t="n">
        <f aca="false">IF(Tiers!L3="public",1,0)</f>
        <v>1</v>
      </c>
      <c r="F3" s="16" t="n">
        <f aca="false">IF(AND(IF(Inputs!$B$11="yes",Tiers!M3="yes",TRUE()),IF(Inputs!$B$12="yes",Tiers!N3="yes",TRUE()),IF(Inputs!$B$13="yes",Tiers!O3="yes",TRUE())),1,0)</f>
        <v>1</v>
      </c>
      <c r="G3" s="16" t="n">
        <f aca="false">IF(Tiers!K3="yes",0,D3*E3*F3)</f>
        <v>1</v>
      </c>
      <c r="H3" s="17" t="n">
        <f aca="false">IF(G3=0,"",IF(Tiers!D3="per_seat",  IF(Inputs!$B$8="annual",IF(Tiers!E3="","",Tiers!E3*C3),                            IF(Tiers!F3="","",Tiers!F3*C3)),IF(Tiers!D3="flat",  IF(Inputs!$B$8="annual",IF(Tiers!G3="","",Tiers!G3/12),                            IF(Tiers!H3="","",Tiers!H3)),"")))</f>
        <v>475</v>
      </c>
      <c r="I3" s="21" t="n">
        <f aca="false">IF(H3="","",H3*Inputs!$B$7)</f>
        <v>17100</v>
      </c>
      <c r="J3" s="16" t="str">
        <f aca="false">IF(Tiers!K3="yes","free tier, excluded from the paid comparison",IF(D3=0,"team is larger than this tier's seat cap",IF(E3=0,"no published price, contact sales",IF(F3=0,"does not meet a required capability",IF(H3="","not priced on the chosen billing cadence","")))))</f>
        <v/>
      </c>
    </row>
    <row r="4" customFormat="false" ht="15" hidden="false" customHeight="false" outlineLevel="0" collapsed="false">
      <c r="A4" s="18" t="str">
        <f aca="false">Tiers!A4</f>
        <v>Smartsheet</v>
      </c>
      <c r="B4" s="18" t="str">
        <f aca="false">Tiers!B4</f>
        <v>Enterprise</v>
      </c>
      <c r="C4" s="8" t="n">
        <f aca="false">MAX(Inputs!$B$5,IF(Tiers!I4="",1,Tiers!I4))</f>
        <v>25</v>
      </c>
      <c r="D4" s="8" t="n">
        <f aca="false">IF(Tiers!J4="",1,IF(Inputs!$B$5&lt;=Tiers!J4,1,0))</f>
        <v>1</v>
      </c>
      <c r="E4" s="8" t="n">
        <f aca="false">IF(Tiers!L4="public",1,0)</f>
        <v>0</v>
      </c>
      <c r="F4" s="8" t="n">
        <f aca="false">IF(AND(IF(Inputs!$B$11="yes",Tiers!M4="yes",TRUE()),IF(Inputs!$B$12="yes",Tiers!N4="yes",TRUE()),IF(Inputs!$B$13="yes",Tiers!O4="yes",TRUE())),1,0)</f>
        <v>1</v>
      </c>
      <c r="G4" s="8" t="n">
        <f aca="false">IF(Tiers!K4="yes",0,D4*E4*F4)</f>
        <v>0</v>
      </c>
      <c r="H4" s="15" t="str">
        <f aca="false">IF(G4=0,"",IF(Tiers!D4="per_seat",  IF(Inputs!$B$8="annual",IF(Tiers!E4="","",Tiers!E4*C4),                            IF(Tiers!F4="","",Tiers!F4*C4)),IF(Tiers!D4="flat",  IF(Inputs!$B$8="annual",IF(Tiers!G4="","",Tiers!G4/12),                            IF(Tiers!H4="","",Tiers!H4)),"")))</f>
        <v/>
      </c>
      <c r="I4" s="19" t="str">
        <f aca="false">IF(H4="","",H4*Inputs!$B$7)</f>
        <v/>
      </c>
      <c r="J4" s="8" t="str">
        <f aca="false">IF(Tiers!K4="yes","free tier, excluded from the paid comparison",IF(D4=0,"team is larger than this tier's seat cap",IF(E4=0,"no published price, contact sales",IF(F4=0,"does not meet a required capability",IF(H4="","not priced on the chosen billing cadence","")))))</f>
        <v>no published price, contact sales</v>
      </c>
    </row>
    <row r="5" customFormat="false" ht="15" hidden="false" customHeight="false" outlineLevel="0" collapsed="false">
      <c r="A5" s="20" t="str">
        <f aca="false">Tiers!A5</f>
        <v>Smartsheet</v>
      </c>
      <c r="B5" s="20" t="str">
        <f aca="false">Tiers!B5</f>
        <v>Advanced Work Management</v>
      </c>
      <c r="C5" s="16" t="n">
        <f aca="false">MAX(Inputs!$B$5,IF(Tiers!I5="",1,Tiers!I5))</f>
        <v>25</v>
      </c>
      <c r="D5" s="16" t="n">
        <f aca="false">IF(Tiers!J5="",1,IF(Inputs!$B$5&lt;=Tiers!J5,1,0))</f>
        <v>1</v>
      </c>
      <c r="E5" s="16" t="n">
        <f aca="false">IF(Tiers!L5="public",1,0)</f>
        <v>0</v>
      </c>
      <c r="F5" s="16" t="n">
        <f aca="false">IF(AND(IF(Inputs!$B$11="yes",Tiers!M5="yes",TRUE()),IF(Inputs!$B$12="yes",Tiers!N5="yes",TRUE()),IF(Inputs!$B$13="yes",Tiers!O5="yes",TRUE())),1,0)</f>
        <v>1</v>
      </c>
      <c r="G5" s="16" t="n">
        <f aca="false">IF(Tiers!K5="yes",0,D5*E5*F5)</f>
        <v>0</v>
      </c>
      <c r="H5" s="17" t="str">
        <f aca="false">IF(G5=0,"",IF(Tiers!D5="per_seat",  IF(Inputs!$B$8="annual",IF(Tiers!E5="","",Tiers!E5*C5),                            IF(Tiers!F5="","",Tiers!F5*C5)),IF(Tiers!D5="flat",  IF(Inputs!$B$8="annual",IF(Tiers!G5="","",Tiers!G5/12),                            IF(Tiers!H5="","",Tiers!H5)),"")))</f>
        <v/>
      </c>
      <c r="I5" s="21" t="str">
        <f aca="false">IF(H5="","",H5*Inputs!$B$7)</f>
        <v/>
      </c>
      <c r="J5" s="16" t="str">
        <f aca="false">IF(Tiers!K5="yes","free tier, excluded from the paid comparison",IF(D5=0,"team is larger than this tier's seat cap",IF(E5=0,"no published price, contact sales",IF(F5=0,"does not meet a required capability",IF(H5="","not priced on the chosen billing cadence","")))))</f>
        <v>no published price, contact sales</v>
      </c>
    </row>
    <row r="6" customFormat="false" ht="15" hidden="false" customHeight="false" outlineLevel="0" collapsed="false">
      <c r="A6" s="18" t="str">
        <f aca="false">Tiers!A6</f>
        <v>monday.com</v>
      </c>
      <c r="B6" s="18" t="str">
        <f aca="false">Tiers!B6</f>
        <v>Free</v>
      </c>
      <c r="C6" s="8" t="n">
        <f aca="false">MAX(Inputs!$B$5,IF(Tiers!I6="",1,Tiers!I6))</f>
        <v>25</v>
      </c>
      <c r="D6" s="8" t="n">
        <f aca="false">IF(Tiers!J6="",1,IF(Inputs!$B$5&lt;=Tiers!J6,1,0))</f>
        <v>0</v>
      </c>
      <c r="E6" s="8" t="n">
        <f aca="false">IF(Tiers!L6="public",1,0)</f>
        <v>1</v>
      </c>
      <c r="F6" s="8" t="n">
        <f aca="false">IF(AND(IF(Inputs!$B$11="yes",Tiers!M6="yes",TRUE()),IF(Inputs!$B$12="yes",Tiers!N6="yes",TRUE()),IF(Inputs!$B$13="yes",Tiers!O6="yes",TRUE())),1,0)</f>
        <v>1</v>
      </c>
      <c r="G6" s="8" t="n">
        <f aca="false">IF(Tiers!K6="yes",0,D6*E6*F6)</f>
        <v>0</v>
      </c>
      <c r="H6" s="15" t="str">
        <f aca="false">IF(G6=0,"",IF(Tiers!D6="per_seat",  IF(Inputs!$B$8="annual",IF(Tiers!E6="","",Tiers!E6*C6),                            IF(Tiers!F6="","",Tiers!F6*C6)),IF(Tiers!D6="flat",  IF(Inputs!$B$8="annual",IF(Tiers!G6="","",Tiers!G6/12),                            IF(Tiers!H6="","",Tiers!H6)),"")))</f>
        <v/>
      </c>
      <c r="I6" s="19" t="str">
        <f aca="false">IF(H6="","",H6*Inputs!$B$7)</f>
        <v/>
      </c>
      <c r="J6" s="8" t="str">
        <f aca="false">IF(Tiers!K6="yes","free tier, excluded from the paid comparison",IF(D6=0,"team is larger than this tier's seat cap",IF(E6=0,"no published price, contact sales",IF(F6=0,"does not meet a required capability",IF(H6="","not priced on the chosen billing cadence","")))))</f>
        <v>free tier, excluded from the paid comparison</v>
      </c>
    </row>
    <row r="7" customFormat="false" ht="15" hidden="false" customHeight="false" outlineLevel="0" collapsed="false">
      <c r="A7" s="20" t="str">
        <f aca="false">Tiers!A7</f>
        <v>monday.com</v>
      </c>
      <c r="B7" s="20" t="str">
        <f aca="false">Tiers!B7</f>
        <v>Basic</v>
      </c>
      <c r="C7" s="16" t="n">
        <f aca="false">MAX(Inputs!$B$5,IF(Tiers!I7="",1,Tiers!I7))</f>
        <v>25</v>
      </c>
      <c r="D7" s="16" t="n">
        <f aca="false">IF(Tiers!J7="",1,IF(Inputs!$B$5&lt;=Tiers!J7,1,0))</f>
        <v>1</v>
      </c>
      <c r="E7" s="16" t="n">
        <f aca="false">IF(Tiers!L7="public",1,0)</f>
        <v>1</v>
      </c>
      <c r="F7" s="16" t="n">
        <f aca="false">IF(AND(IF(Inputs!$B$11="yes",Tiers!M7="yes",TRUE()),IF(Inputs!$B$12="yes",Tiers!N7="yes",TRUE()),IF(Inputs!$B$13="yes",Tiers!O7="yes",TRUE())),1,0)</f>
        <v>1</v>
      </c>
      <c r="G7" s="16" t="n">
        <f aca="false">IF(Tiers!K7="yes",0,D7*E7*F7)</f>
        <v>1</v>
      </c>
      <c r="H7" s="17" t="n">
        <f aca="false">IF(G7=0,"",IF(Tiers!D7="per_seat",  IF(Inputs!$B$8="annual",IF(Tiers!E7="","",Tiers!E7*C7),                            IF(Tiers!F7="","",Tiers!F7*C7)),IF(Tiers!D7="flat",  IF(Inputs!$B$8="annual",IF(Tiers!G7="","",Tiers!G7/12),                            IF(Tiers!H7="","",Tiers!H7)),"")))</f>
        <v>225</v>
      </c>
      <c r="I7" s="21" t="n">
        <f aca="false">IF(H7="","",H7*Inputs!$B$7)</f>
        <v>8100</v>
      </c>
      <c r="J7" s="16" t="str">
        <f aca="false">IF(Tiers!K7="yes","free tier, excluded from the paid comparison",IF(D7=0,"team is larger than this tier's seat cap",IF(E7=0,"no published price, contact sales",IF(F7=0,"does not meet a required capability",IF(H7="","not priced on the chosen billing cadence","")))))</f>
        <v/>
      </c>
    </row>
    <row r="8" customFormat="false" ht="15" hidden="false" customHeight="false" outlineLevel="0" collapsed="false">
      <c r="A8" s="18" t="str">
        <f aca="false">Tiers!A8</f>
        <v>monday.com</v>
      </c>
      <c r="B8" s="18" t="str">
        <f aca="false">Tiers!B8</f>
        <v>Standard</v>
      </c>
      <c r="C8" s="8" t="n">
        <f aca="false">MAX(Inputs!$B$5,IF(Tiers!I8="",1,Tiers!I8))</f>
        <v>25</v>
      </c>
      <c r="D8" s="8" t="n">
        <f aca="false">IF(Tiers!J8="",1,IF(Inputs!$B$5&lt;=Tiers!J8,1,0))</f>
        <v>1</v>
      </c>
      <c r="E8" s="8" t="n">
        <f aca="false">IF(Tiers!L8="public",1,0)</f>
        <v>1</v>
      </c>
      <c r="F8" s="8" t="n">
        <f aca="false">IF(AND(IF(Inputs!$B$11="yes",Tiers!M8="yes",TRUE()),IF(Inputs!$B$12="yes",Tiers!N8="yes",TRUE()),IF(Inputs!$B$13="yes",Tiers!O8="yes",TRUE())),1,0)</f>
        <v>1</v>
      </c>
      <c r="G8" s="8" t="n">
        <f aca="false">IF(Tiers!K8="yes",0,D8*E8*F8)</f>
        <v>1</v>
      </c>
      <c r="H8" s="15" t="n">
        <f aca="false">IF(G8=0,"",IF(Tiers!D8="per_seat",  IF(Inputs!$B$8="annual",IF(Tiers!E8="","",Tiers!E8*C8),                            IF(Tiers!F8="","",Tiers!F8*C8)),IF(Tiers!D8="flat",  IF(Inputs!$B$8="annual",IF(Tiers!G8="","",Tiers!G8/12),                            IF(Tiers!H8="","",Tiers!H8)),"")))</f>
        <v>300</v>
      </c>
      <c r="I8" s="19" t="n">
        <f aca="false">IF(H8="","",H8*Inputs!$B$7)</f>
        <v>10800</v>
      </c>
      <c r="J8" s="8" t="str">
        <f aca="false">IF(Tiers!K8="yes","free tier, excluded from the paid comparison",IF(D8=0,"team is larger than this tier's seat cap",IF(E8=0,"no published price, contact sales",IF(F8=0,"does not meet a required capability",IF(H8="","not priced on the chosen billing cadence","")))))</f>
        <v/>
      </c>
    </row>
    <row r="9" customFormat="false" ht="15" hidden="false" customHeight="false" outlineLevel="0" collapsed="false">
      <c r="A9" s="20" t="str">
        <f aca="false">Tiers!A9</f>
        <v>monday.com</v>
      </c>
      <c r="B9" s="20" t="str">
        <f aca="false">Tiers!B9</f>
        <v>Pro</v>
      </c>
      <c r="C9" s="16" t="n">
        <f aca="false">MAX(Inputs!$B$5,IF(Tiers!I9="",1,Tiers!I9))</f>
        <v>25</v>
      </c>
      <c r="D9" s="16" t="n">
        <f aca="false">IF(Tiers!J9="",1,IF(Inputs!$B$5&lt;=Tiers!J9,1,0))</f>
        <v>1</v>
      </c>
      <c r="E9" s="16" t="n">
        <f aca="false">IF(Tiers!L9="public",1,0)</f>
        <v>1</v>
      </c>
      <c r="F9" s="16" t="n">
        <f aca="false">IF(AND(IF(Inputs!$B$11="yes",Tiers!M9="yes",TRUE()),IF(Inputs!$B$12="yes",Tiers!N9="yes",TRUE()),IF(Inputs!$B$13="yes",Tiers!O9="yes",TRUE())),1,0)</f>
        <v>1</v>
      </c>
      <c r="G9" s="16" t="n">
        <f aca="false">IF(Tiers!K9="yes",0,D9*E9*F9)</f>
        <v>1</v>
      </c>
      <c r="H9" s="17" t="n">
        <f aca="false">IF(G9=0,"",IF(Tiers!D9="per_seat",  IF(Inputs!$B$8="annual",IF(Tiers!E9="","",Tiers!E9*C9),                            IF(Tiers!F9="","",Tiers!F9*C9)),IF(Tiers!D9="flat",  IF(Inputs!$B$8="annual",IF(Tiers!G9="","",Tiers!G9/12),                            IF(Tiers!H9="","",Tiers!H9)),"")))</f>
        <v>475</v>
      </c>
      <c r="I9" s="21" t="n">
        <f aca="false">IF(H9="","",H9*Inputs!$B$7)</f>
        <v>17100</v>
      </c>
      <c r="J9" s="16" t="str">
        <f aca="false">IF(Tiers!K9="yes","free tier, excluded from the paid comparison",IF(D9=0,"team is larger than this tier's seat cap",IF(E9=0,"no published price, contact sales",IF(F9=0,"does not meet a required capability",IF(H9="","not priced on the chosen billing cadence","")))))</f>
        <v/>
      </c>
    </row>
    <row r="10" customFormat="false" ht="15" hidden="false" customHeight="false" outlineLevel="0" collapsed="false">
      <c r="A10" s="18" t="str">
        <f aca="false">Tiers!A10</f>
        <v>monday.com</v>
      </c>
      <c r="B10" s="18" t="str">
        <f aca="false">Tiers!B10</f>
        <v>Enterprise</v>
      </c>
      <c r="C10" s="8" t="n">
        <f aca="false">MAX(Inputs!$B$5,IF(Tiers!I10="",1,Tiers!I10))</f>
        <v>25</v>
      </c>
      <c r="D10" s="8" t="n">
        <f aca="false">IF(Tiers!J10="",1,IF(Inputs!$B$5&lt;=Tiers!J10,1,0))</f>
        <v>1</v>
      </c>
      <c r="E10" s="8" t="n">
        <f aca="false">IF(Tiers!L10="public",1,0)</f>
        <v>0</v>
      </c>
      <c r="F10" s="8" t="n">
        <f aca="false">IF(AND(IF(Inputs!$B$11="yes",Tiers!M10="yes",TRUE()),IF(Inputs!$B$12="yes",Tiers!N10="yes",TRUE()),IF(Inputs!$B$13="yes",Tiers!O10="yes",TRUE())),1,0)</f>
        <v>1</v>
      </c>
      <c r="G10" s="8" t="n">
        <f aca="false">IF(Tiers!K10="yes",0,D10*E10*F10)</f>
        <v>0</v>
      </c>
      <c r="H10" s="15" t="str">
        <f aca="false">IF(G10=0,"",IF(Tiers!D10="per_seat",  IF(Inputs!$B$8="annual",IF(Tiers!E10="","",Tiers!E10*C10),                            IF(Tiers!F10="","",Tiers!F10*C10)),IF(Tiers!D10="flat",  IF(Inputs!$B$8="annual",IF(Tiers!G10="","",Tiers!G10/12),                            IF(Tiers!H10="","",Tiers!H10)),"")))</f>
        <v/>
      </c>
      <c r="I10" s="19" t="str">
        <f aca="false">IF(H10="","",H10*Inputs!$B$7)</f>
        <v/>
      </c>
      <c r="J10" s="8" t="str">
        <f aca="false">IF(Tiers!K10="yes","free tier, excluded from the paid comparison",IF(D10=0,"team is larger than this tier's seat cap",IF(E10=0,"no published price, contact sales",IF(F10=0,"does not meet a required capability",IF(H10="","not priced on the chosen billing cadence","")))))</f>
        <v>no published price, contact sales</v>
      </c>
    </row>
    <row r="11" customFormat="false" ht="15" hidden="false" customHeight="false" outlineLevel="0" collapsed="false">
      <c r="A11" s="20" t="str">
        <f aca="false">Tiers!A11</f>
        <v>ClickUp</v>
      </c>
      <c r="B11" s="20" t="str">
        <f aca="false">Tiers!B11</f>
        <v>Free Forever</v>
      </c>
      <c r="C11" s="16" t="n">
        <f aca="false">MAX(Inputs!$B$5,IF(Tiers!I11="",1,Tiers!I11))</f>
        <v>25</v>
      </c>
      <c r="D11" s="16" t="n">
        <f aca="false">IF(Tiers!J11="",1,IF(Inputs!$B$5&lt;=Tiers!J11,1,0))</f>
        <v>1</v>
      </c>
      <c r="E11" s="16" t="n">
        <f aca="false">IF(Tiers!L11="public",1,0)</f>
        <v>1</v>
      </c>
      <c r="F11" s="16" t="n">
        <f aca="false">IF(AND(IF(Inputs!$B$11="yes",Tiers!M11="yes",TRUE()),IF(Inputs!$B$12="yes",Tiers!N11="yes",TRUE()),IF(Inputs!$B$13="yes",Tiers!O11="yes",TRUE())),1,0)</f>
        <v>1</v>
      </c>
      <c r="G11" s="16" t="n">
        <f aca="false">IF(Tiers!K11="yes",0,D11*E11*F11)</f>
        <v>0</v>
      </c>
      <c r="H11" s="17" t="str">
        <f aca="false">IF(G11=0,"",IF(Tiers!D11="per_seat",  IF(Inputs!$B$8="annual",IF(Tiers!E11="","",Tiers!E11*C11),                            IF(Tiers!F11="","",Tiers!F11*C11)),IF(Tiers!D11="flat",  IF(Inputs!$B$8="annual",IF(Tiers!G11="","",Tiers!G11/12),                            IF(Tiers!H11="","",Tiers!H11)),"")))</f>
        <v/>
      </c>
      <c r="I11" s="21" t="str">
        <f aca="false">IF(H11="","",H11*Inputs!$B$7)</f>
        <v/>
      </c>
      <c r="J11" s="16" t="str">
        <f aca="false">IF(Tiers!K11="yes","free tier, excluded from the paid comparison",IF(D11=0,"team is larger than this tier's seat cap",IF(E11=0,"no published price, contact sales",IF(F11=0,"does not meet a required capability",IF(H11="","not priced on the chosen billing cadence","")))))</f>
        <v>free tier, excluded from the paid comparison</v>
      </c>
    </row>
    <row r="12" customFormat="false" ht="15" hidden="false" customHeight="false" outlineLevel="0" collapsed="false">
      <c r="A12" s="18" t="str">
        <f aca="false">Tiers!A12</f>
        <v>ClickUp</v>
      </c>
      <c r="B12" s="18" t="str">
        <f aca="false">Tiers!B12</f>
        <v>Unlimited</v>
      </c>
      <c r="C12" s="8" t="n">
        <f aca="false">MAX(Inputs!$B$5,IF(Tiers!I12="",1,Tiers!I12))</f>
        <v>25</v>
      </c>
      <c r="D12" s="8" t="n">
        <f aca="false">IF(Tiers!J12="",1,IF(Inputs!$B$5&lt;=Tiers!J12,1,0))</f>
        <v>1</v>
      </c>
      <c r="E12" s="8" t="n">
        <f aca="false">IF(Tiers!L12="public",1,0)</f>
        <v>1</v>
      </c>
      <c r="F12" s="8" t="n">
        <f aca="false">IF(AND(IF(Inputs!$B$11="yes",Tiers!M12="yes",TRUE()),IF(Inputs!$B$12="yes",Tiers!N12="yes",TRUE()),IF(Inputs!$B$13="yes",Tiers!O12="yes",TRUE())),1,0)</f>
        <v>1</v>
      </c>
      <c r="G12" s="8" t="n">
        <f aca="false">IF(Tiers!K12="yes",0,D12*E12*F12)</f>
        <v>1</v>
      </c>
      <c r="H12" s="15" t="n">
        <f aca="false">IF(G12=0,"",IF(Tiers!D12="per_seat",  IF(Inputs!$B$8="annual",IF(Tiers!E12="","",Tiers!E12*C12),                            IF(Tiers!F12="","",Tiers!F12*C12)),IF(Tiers!D12="flat",  IF(Inputs!$B$8="annual",IF(Tiers!G12="","",Tiers!G12/12),                            IF(Tiers!H12="","",Tiers!H12)),"")))</f>
        <v>175</v>
      </c>
      <c r="I12" s="19" t="n">
        <f aca="false">IF(H12="","",H12*Inputs!$B$7)</f>
        <v>6300</v>
      </c>
      <c r="J12" s="8" t="str">
        <f aca="false">IF(Tiers!K12="yes","free tier, excluded from the paid comparison",IF(D12=0,"team is larger than this tier's seat cap",IF(E12=0,"no published price, contact sales",IF(F12=0,"does not meet a required capability",IF(H12="","not priced on the chosen billing cadence","")))))</f>
        <v/>
      </c>
    </row>
    <row r="13" customFormat="false" ht="15" hidden="false" customHeight="false" outlineLevel="0" collapsed="false">
      <c r="A13" s="20" t="str">
        <f aca="false">Tiers!A13</f>
        <v>ClickUp</v>
      </c>
      <c r="B13" s="20" t="str">
        <f aca="false">Tiers!B13</f>
        <v>Business</v>
      </c>
      <c r="C13" s="16" t="n">
        <f aca="false">MAX(Inputs!$B$5,IF(Tiers!I13="",1,Tiers!I13))</f>
        <v>25</v>
      </c>
      <c r="D13" s="16" t="n">
        <f aca="false">IF(Tiers!J13="",1,IF(Inputs!$B$5&lt;=Tiers!J13,1,0))</f>
        <v>1</v>
      </c>
      <c r="E13" s="16" t="n">
        <f aca="false">IF(Tiers!L13="public",1,0)</f>
        <v>1</v>
      </c>
      <c r="F13" s="16" t="n">
        <f aca="false">IF(AND(IF(Inputs!$B$11="yes",Tiers!M13="yes",TRUE()),IF(Inputs!$B$12="yes",Tiers!N13="yes",TRUE()),IF(Inputs!$B$13="yes",Tiers!O13="yes",TRUE())),1,0)</f>
        <v>1</v>
      </c>
      <c r="G13" s="16" t="n">
        <f aca="false">IF(Tiers!K13="yes",0,D13*E13*F13)</f>
        <v>1</v>
      </c>
      <c r="H13" s="17" t="n">
        <f aca="false">IF(G13=0,"",IF(Tiers!D13="per_seat",  IF(Inputs!$B$8="annual",IF(Tiers!E13="","",Tiers!E13*C13),                            IF(Tiers!F13="","",Tiers!F13*C13)),IF(Tiers!D13="flat",  IF(Inputs!$B$8="annual",IF(Tiers!G13="","",Tiers!G13/12),                            IF(Tiers!H13="","",Tiers!H13)),"")))</f>
        <v>300</v>
      </c>
      <c r="I13" s="21" t="n">
        <f aca="false">IF(H13="","",H13*Inputs!$B$7)</f>
        <v>10800</v>
      </c>
      <c r="J13" s="16" t="str">
        <f aca="false">IF(Tiers!K13="yes","free tier, excluded from the paid comparison",IF(D13=0,"team is larger than this tier's seat cap",IF(E13=0,"no published price, contact sales",IF(F13=0,"does not meet a required capability",IF(H13="","not priced on the chosen billing cadence","")))))</f>
        <v/>
      </c>
    </row>
    <row r="14" customFormat="false" ht="15" hidden="false" customHeight="false" outlineLevel="0" collapsed="false">
      <c r="A14" s="18" t="str">
        <f aca="false">Tiers!A14</f>
        <v>ClickUp</v>
      </c>
      <c r="B14" s="18" t="str">
        <f aca="false">Tiers!B14</f>
        <v>Enterprise</v>
      </c>
      <c r="C14" s="8" t="n">
        <f aca="false">MAX(Inputs!$B$5,IF(Tiers!I14="",1,Tiers!I14))</f>
        <v>25</v>
      </c>
      <c r="D14" s="8" t="n">
        <f aca="false">IF(Tiers!J14="",1,IF(Inputs!$B$5&lt;=Tiers!J14,1,0))</f>
        <v>1</v>
      </c>
      <c r="E14" s="8" t="n">
        <f aca="false">IF(Tiers!L14="public",1,0)</f>
        <v>0</v>
      </c>
      <c r="F14" s="8" t="n">
        <f aca="false">IF(AND(IF(Inputs!$B$11="yes",Tiers!M14="yes",TRUE()),IF(Inputs!$B$12="yes",Tiers!N14="yes",TRUE()),IF(Inputs!$B$13="yes",Tiers!O14="yes",TRUE())),1,0)</f>
        <v>1</v>
      </c>
      <c r="G14" s="8" t="n">
        <f aca="false">IF(Tiers!K14="yes",0,D14*E14*F14)</f>
        <v>0</v>
      </c>
      <c r="H14" s="15" t="str">
        <f aca="false">IF(G14=0,"",IF(Tiers!D14="per_seat",  IF(Inputs!$B$8="annual",IF(Tiers!E14="","",Tiers!E14*C14),                            IF(Tiers!F14="","",Tiers!F14*C14)),IF(Tiers!D14="flat",  IF(Inputs!$B$8="annual",IF(Tiers!G14="","",Tiers!G14/12),                            IF(Tiers!H14="","",Tiers!H14)),"")))</f>
        <v/>
      </c>
      <c r="I14" s="19" t="str">
        <f aca="false">IF(H14="","",H14*Inputs!$B$7)</f>
        <v/>
      </c>
      <c r="J14" s="8" t="str">
        <f aca="false">IF(Tiers!K14="yes","free tier, excluded from the paid comparison",IF(D14=0,"team is larger than this tier's seat cap",IF(E14=0,"no published price, contact sales",IF(F14=0,"does not meet a required capability",IF(H14="","not priced on the chosen billing cadence","")))))</f>
        <v>no published price, contact sales</v>
      </c>
    </row>
    <row r="15" customFormat="false" ht="15" hidden="false" customHeight="false" outlineLevel="0" collapsed="false">
      <c r="A15" s="20" t="str">
        <f aca="false">Tiers!A15</f>
        <v>Trello</v>
      </c>
      <c r="B15" s="20" t="str">
        <f aca="false">Tiers!B15</f>
        <v>Free</v>
      </c>
      <c r="C15" s="16" t="n">
        <f aca="false">MAX(Inputs!$B$5,IF(Tiers!I15="",1,Tiers!I15))</f>
        <v>25</v>
      </c>
      <c r="D15" s="16" t="n">
        <f aca="false">IF(Tiers!J15="",1,IF(Inputs!$B$5&lt;=Tiers!J15,1,0))</f>
        <v>0</v>
      </c>
      <c r="E15" s="16" t="n">
        <f aca="false">IF(Tiers!L15="public",1,0)</f>
        <v>1</v>
      </c>
      <c r="F15" s="16" t="n">
        <f aca="false">IF(AND(IF(Inputs!$B$11="yes",Tiers!M15="yes",TRUE()),IF(Inputs!$B$12="yes",Tiers!N15="yes",TRUE()),IF(Inputs!$B$13="yes",Tiers!O15="yes",TRUE())),1,0)</f>
        <v>1</v>
      </c>
      <c r="G15" s="16" t="n">
        <f aca="false">IF(Tiers!K15="yes",0,D15*E15*F15)</f>
        <v>0</v>
      </c>
      <c r="H15" s="17" t="str">
        <f aca="false">IF(G15=0,"",IF(Tiers!D15="per_seat",  IF(Inputs!$B$8="annual",IF(Tiers!E15="","",Tiers!E15*C15),                            IF(Tiers!F15="","",Tiers!F15*C15)),IF(Tiers!D15="flat",  IF(Inputs!$B$8="annual",IF(Tiers!G15="","",Tiers!G15/12),                            IF(Tiers!H15="","",Tiers!H15)),"")))</f>
        <v/>
      </c>
      <c r="I15" s="21" t="str">
        <f aca="false">IF(H15="","",H15*Inputs!$B$7)</f>
        <v/>
      </c>
      <c r="J15" s="16" t="str">
        <f aca="false">IF(Tiers!K15="yes","free tier, excluded from the paid comparison",IF(D15=0,"team is larger than this tier's seat cap",IF(E15=0,"no published price, contact sales",IF(F15=0,"does not meet a required capability",IF(H15="","not priced on the chosen billing cadence","")))))</f>
        <v>free tier, excluded from the paid comparison</v>
      </c>
    </row>
    <row r="16" customFormat="false" ht="15" hidden="false" customHeight="false" outlineLevel="0" collapsed="false">
      <c r="A16" s="18" t="str">
        <f aca="false">Tiers!A16</f>
        <v>Trello</v>
      </c>
      <c r="B16" s="18" t="str">
        <f aca="false">Tiers!B16</f>
        <v>Standard</v>
      </c>
      <c r="C16" s="8" t="n">
        <f aca="false">MAX(Inputs!$B$5,IF(Tiers!I16="",1,Tiers!I16))</f>
        <v>25</v>
      </c>
      <c r="D16" s="8" t="n">
        <f aca="false">IF(Tiers!J16="",1,IF(Inputs!$B$5&lt;=Tiers!J16,1,0))</f>
        <v>1</v>
      </c>
      <c r="E16" s="8" t="n">
        <f aca="false">IF(Tiers!L16="public",1,0)</f>
        <v>1</v>
      </c>
      <c r="F16" s="8" t="n">
        <f aca="false">IF(AND(IF(Inputs!$B$11="yes",Tiers!M16="yes",TRUE()),IF(Inputs!$B$12="yes",Tiers!N16="yes",TRUE()),IF(Inputs!$B$13="yes",Tiers!O16="yes",TRUE())),1,0)</f>
        <v>1</v>
      </c>
      <c r="G16" s="8" t="n">
        <f aca="false">IF(Tiers!K16="yes",0,D16*E16*F16)</f>
        <v>1</v>
      </c>
      <c r="H16" s="15" t="n">
        <f aca="false">IF(G16=0,"",IF(Tiers!D16="per_seat",  IF(Inputs!$B$8="annual",IF(Tiers!E16="","",Tiers!E16*C16),                            IF(Tiers!F16="","",Tiers!F16*C16)),IF(Tiers!D16="flat",  IF(Inputs!$B$8="annual",IF(Tiers!G16="","",Tiers!G16/12),                            IF(Tiers!H16="","",Tiers!H16)),"")))</f>
        <v>125</v>
      </c>
      <c r="I16" s="19" t="n">
        <f aca="false">IF(H16="","",H16*Inputs!$B$7)</f>
        <v>4500</v>
      </c>
      <c r="J16" s="8" t="str">
        <f aca="false">IF(Tiers!K16="yes","free tier, excluded from the paid comparison",IF(D16=0,"team is larger than this tier's seat cap",IF(E16=0,"no published price, contact sales",IF(F16=0,"does not meet a required capability",IF(H16="","not priced on the chosen billing cadence","")))))</f>
        <v/>
      </c>
    </row>
    <row r="17" customFormat="false" ht="15" hidden="false" customHeight="false" outlineLevel="0" collapsed="false">
      <c r="A17" s="20" t="str">
        <f aca="false">Tiers!A17</f>
        <v>Trello</v>
      </c>
      <c r="B17" s="20" t="str">
        <f aca="false">Tiers!B17</f>
        <v>Premium</v>
      </c>
      <c r="C17" s="16" t="n">
        <f aca="false">MAX(Inputs!$B$5,IF(Tiers!I17="",1,Tiers!I17))</f>
        <v>25</v>
      </c>
      <c r="D17" s="16" t="n">
        <f aca="false">IF(Tiers!J17="",1,IF(Inputs!$B$5&lt;=Tiers!J17,1,0))</f>
        <v>1</v>
      </c>
      <c r="E17" s="16" t="n">
        <f aca="false">IF(Tiers!L17="public",1,0)</f>
        <v>1</v>
      </c>
      <c r="F17" s="16" t="n">
        <f aca="false">IF(AND(IF(Inputs!$B$11="yes",Tiers!M17="yes",TRUE()),IF(Inputs!$B$12="yes",Tiers!N17="yes",TRUE()),IF(Inputs!$B$13="yes",Tiers!O17="yes",TRUE())),1,0)</f>
        <v>1</v>
      </c>
      <c r="G17" s="16" t="n">
        <f aca="false">IF(Tiers!K17="yes",0,D17*E17*F17)</f>
        <v>1</v>
      </c>
      <c r="H17" s="17" t="n">
        <f aca="false">IF(G17=0,"",IF(Tiers!D17="per_seat",  IF(Inputs!$B$8="annual",IF(Tiers!E17="","",Tiers!E17*C17),                            IF(Tiers!F17="","",Tiers!F17*C17)),IF(Tiers!D17="flat",  IF(Inputs!$B$8="annual",IF(Tiers!G17="","",Tiers!G17/12),                            IF(Tiers!H17="","",Tiers!H17)),"")))</f>
        <v>250</v>
      </c>
      <c r="I17" s="21" t="n">
        <f aca="false">IF(H17="","",H17*Inputs!$B$7)</f>
        <v>9000</v>
      </c>
      <c r="J17" s="16" t="str">
        <f aca="false">IF(Tiers!K17="yes","free tier, excluded from the paid comparison",IF(D17=0,"team is larger than this tier's seat cap",IF(E17=0,"no published price, contact sales",IF(F17=0,"does not meet a required capability",IF(H17="","not priced on the chosen billing cadence","")))))</f>
        <v/>
      </c>
    </row>
    <row r="18" customFormat="false" ht="15" hidden="false" customHeight="false" outlineLevel="0" collapsed="false">
      <c r="A18" s="18" t="str">
        <f aca="false">Tiers!A18</f>
        <v>Trello</v>
      </c>
      <c r="B18" s="18" t="str">
        <f aca="false">Tiers!B18</f>
        <v>Enterprise</v>
      </c>
      <c r="C18" s="8" t="n">
        <f aca="false">MAX(Inputs!$B$5,IF(Tiers!I18="",1,Tiers!I18))</f>
        <v>50</v>
      </c>
      <c r="D18" s="8" t="n">
        <f aca="false">IF(Tiers!J18="",1,IF(Inputs!$B$5&lt;=Tiers!J18,1,0))</f>
        <v>1</v>
      </c>
      <c r="E18" s="8" t="n">
        <f aca="false">IF(Tiers!L18="public",1,0)</f>
        <v>1</v>
      </c>
      <c r="F18" s="8" t="n">
        <f aca="false">IF(AND(IF(Inputs!$B$11="yes",Tiers!M18="yes",TRUE()),IF(Inputs!$B$12="yes",Tiers!N18="yes",TRUE()),IF(Inputs!$B$13="yes",Tiers!O18="yes",TRUE())),1,0)</f>
        <v>1</v>
      </c>
      <c r="G18" s="8" t="n">
        <f aca="false">IF(Tiers!K18="yes",0,D18*E18*F18)</f>
        <v>1</v>
      </c>
      <c r="H18" s="15" t="n">
        <f aca="false">IF(G18=0,"",IF(Tiers!D18="per_seat",  IF(Inputs!$B$8="annual",IF(Tiers!E18="","",Tiers!E18*C18),                            IF(Tiers!F18="","",Tiers!F18*C18)),IF(Tiers!D18="flat",  IF(Inputs!$B$8="annual",IF(Tiers!G18="","",Tiers!G18/12),                            IF(Tiers!H18="","",Tiers!H18)),"")))</f>
        <v>875</v>
      </c>
      <c r="I18" s="19" t="n">
        <f aca="false">IF(H18="","",H18*Inputs!$B$7)</f>
        <v>31500</v>
      </c>
      <c r="J18" s="8" t="str">
        <f aca="false">IF(Tiers!K18="yes","free tier, excluded from the paid comparison",IF(D18=0,"team is larger than this tier's seat cap",IF(E18=0,"no published price, contact sales",IF(F18=0,"does not meet a required capability",IF(H18="","not priced on the chosen billing cadence","")))))</f>
        <v/>
      </c>
    </row>
    <row r="19" customFormat="false" ht="15" hidden="false" customHeight="false" outlineLevel="0" collapsed="false">
      <c r="A19" s="20" t="str">
        <f aca="false">Tiers!A19</f>
        <v>Asana</v>
      </c>
      <c r="B19" s="20" t="str">
        <f aca="false">Tiers!B19</f>
        <v>Personal</v>
      </c>
      <c r="C19" s="16" t="n">
        <f aca="false">MAX(Inputs!$B$5,IF(Tiers!I19="",1,Tiers!I19))</f>
        <v>25</v>
      </c>
      <c r="D19" s="16" t="n">
        <f aca="false">IF(Tiers!J19="",1,IF(Inputs!$B$5&lt;=Tiers!J19,1,0))</f>
        <v>1</v>
      </c>
      <c r="E19" s="16" t="n">
        <f aca="false">IF(Tiers!L19="public",1,0)</f>
        <v>1</v>
      </c>
      <c r="F19" s="16" t="n">
        <f aca="false">IF(AND(IF(Inputs!$B$11="yes",Tiers!M19="yes",TRUE()),IF(Inputs!$B$12="yes",Tiers!N19="yes",TRUE()),IF(Inputs!$B$13="yes",Tiers!O19="yes",TRUE())),1,0)</f>
        <v>1</v>
      </c>
      <c r="G19" s="16" t="n">
        <f aca="false">IF(Tiers!K19="yes",0,D19*E19*F19)</f>
        <v>0</v>
      </c>
      <c r="H19" s="17" t="str">
        <f aca="false">IF(G19=0,"",IF(Tiers!D19="per_seat",  IF(Inputs!$B$8="annual",IF(Tiers!E19="","",Tiers!E19*C19),                            IF(Tiers!F19="","",Tiers!F19*C19)),IF(Tiers!D19="flat",  IF(Inputs!$B$8="annual",IF(Tiers!G19="","",Tiers!G19/12),                            IF(Tiers!H19="","",Tiers!H19)),"")))</f>
        <v/>
      </c>
      <c r="I19" s="21" t="str">
        <f aca="false">IF(H19="","",H19*Inputs!$B$7)</f>
        <v/>
      </c>
      <c r="J19" s="16" t="str">
        <f aca="false">IF(Tiers!K19="yes","free tier, excluded from the paid comparison",IF(D19=0,"team is larger than this tier's seat cap",IF(E19=0,"no published price, contact sales",IF(F19=0,"does not meet a required capability",IF(H19="","not priced on the chosen billing cadence","")))))</f>
        <v>free tier, excluded from the paid comparison</v>
      </c>
    </row>
    <row r="20" customFormat="false" ht="15" hidden="false" customHeight="false" outlineLevel="0" collapsed="false">
      <c r="A20" s="18" t="str">
        <f aca="false">Tiers!A20</f>
        <v>Asana</v>
      </c>
      <c r="B20" s="18" t="str">
        <f aca="false">Tiers!B20</f>
        <v>Starter</v>
      </c>
      <c r="C20" s="8" t="n">
        <f aca="false">MAX(Inputs!$B$5,IF(Tiers!I20="",1,Tiers!I20))</f>
        <v>25</v>
      </c>
      <c r="D20" s="8" t="n">
        <f aca="false">IF(Tiers!J20="",1,IF(Inputs!$B$5&lt;=Tiers!J20,1,0))</f>
        <v>1</v>
      </c>
      <c r="E20" s="8" t="n">
        <f aca="false">IF(Tiers!L20="public",1,0)</f>
        <v>1</v>
      </c>
      <c r="F20" s="8" t="n">
        <f aca="false">IF(AND(IF(Inputs!$B$11="yes",Tiers!M20="yes",TRUE()),IF(Inputs!$B$12="yes",Tiers!N20="yes",TRUE()),IF(Inputs!$B$13="yes",Tiers!O20="yes",TRUE())),1,0)</f>
        <v>1</v>
      </c>
      <c r="G20" s="8" t="n">
        <f aca="false">IF(Tiers!K20="yes",0,D20*E20*F20)</f>
        <v>1</v>
      </c>
      <c r="H20" s="15" t="n">
        <f aca="false">IF(G20=0,"",IF(Tiers!D20="per_seat",  IF(Inputs!$B$8="annual",IF(Tiers!E20="","",Tiers!E20*C20),                            IF(Tiers!F20="","",Tiers!F20*C20)),IF(Tiers!D20="flat",  IF(Inputs!$B$8="annual",IF(Tiers!G20="","",Tiers!G20/12),                            IF(Tiers!H20="","",Tiers!H20)),"")))</f>
        <v>274.75</v>
      </c>
      <c r="I20" s="19" t="n">
        <f aca="false">IF(H20="","",H20*Inputs!$B$7)</f>
        <v>9891</v>
      </c>
      <c r="J20" s="8" t="str">
        <f aca="false">IF(Tiers!K20="yes","free tier, excluded from the paid comparison",IF(D20=0,"team is larger than this tier's seat cap",IF(E20=0,"no published price, contact sales",IF(F20=0,"does not meet a required capability",IF(H20="","not priced on the chosen billing cadence","")))))</f>
        <v/>
      </c>
    </row>
    <row r="21" customFormat="false" ht="15" hidden="false" customHeight="false" outlineLevel="0" collapsed="false">
      <c r="A21" s="20" t="str">
        <f aca="false">Tiers!A21</f>
        <v>Asana</v>
      </c>
      <c r="B21" s="20" t="str">
        <f aca="false">Tiers!B21</f>
        <v>Advanced</v>
      </c>
      <c r="C21" s="16" t="n">
        <f aca="false">MAX(Inputs!$B$5,IF(Tiers!I21="",1,Tiers!I21))</f>
        <v>25</v>
      </c>
      <c r="D21" s="16" t="n">
        <f aca="false">IF(Tiers!J21="",1,IF(Inputs!$B$5&lt;=Tiers!J21,1,0))</f>
        <v>1</v>
      </c>
      <c r="E21" s="16" t="n">
        <f aca="false">IF(Tiers!L21="public",1,0)</f>
        <v>1</v>
      </c>
      <c r="F21" s="16" t="n">
        <f aca="false">IF(AND(IF(Inputs!$B$11="yes",Tiers!M21="yes",TRUE()),IF(Inputs!$B$12="yes",Tiers!N21="yes",TRUE()),IF(Inputs!$B$13="yes",Tiers!O21="yes",TRUE())),1,0)</f>
        <v>1</v>
      </c>
      <c r="G21" s="16" t="n">
        <f aca="false">IF(Tiers!K21="yes",0,D21*E21*F21)</f>
        <v>1</v>
      </c>
      <c r="H21" s="17" t="n">
        <f aca="false">IF(G21=0,"",IF(Tiers!D21="per_seat",  IF(Inputs!$B$8="annual",IF(Tiers!E21="","",Tiers!E21*C21),                            IF(Tiers!F21="","",Tiers!F21*C21)),IF(Tiers!D21="flat",  IF(Inputs!$B$8="annual",IF(Tiers!G21="","",Tiers!G21/12),                            IF(Tiers!H21="","",Tiers!H21)),"")))</f>
        <v>624.75</v>
      </c>
      <c r="I21" s="21" t="n">
        <f aca="false">IF(H21="","",H21*Inputs!$B$7)</f>
        <v>22491</v>
      </c>
      <c r="J21" s="16" t="str">
        <f aca="false">IF(Tiers!K21="yes","free tier, excluded from the paid comparison",IF(D21=0,"team is larger than this tier's seat cap",IF(E21=0,"no published price, contact sales",IF(F21=0,"does not meet a required capability",IF(H21="","not priced on the chosen billing cadence","")))))</f>
        <v/>
      </c>
    </row>
    <row r="22" customFormat="false" ht="15" hidden="false" customHeight="false" outlineLevel="0" collapsed="false">
      <c r="A22" s="18" t="str">
        <f aca="false">Tiers!A22</f>
        <v>Asana</v>
      </c>
      <c r="B22" s="18" t="str">
        <f aca="false">Tiers!B22</f>
        <v>Enterprise</v>
      </c>
      <c r="C22" s="8" t="n">
        <f aca="false">MAX(Inputs!$B$5,IF(Tiers!I22="",1,Tiers!I22))</f>
        <v>25</v>
      </c>
      <c r="D22" s="8" t="n">
        <f aca="false">IF(Tiers!J22="",1,IF(Inputs!$B$5&lt;=Tiers!J22,1,0))</f>
        <v>1</v>
      </c>
      <c r="E22" s="8" t="n">
        <f aca="false">IF(Tiers!L22="public",1,0)</f>
        <v>0</v>
      </c>
      <c r="F22" s="8" t="n">
        <f aca="false">IF(AND(IF(Inputs!$B$11="yes",Tiers!M22="yes",TRUE()),IF(Inputs!$B$12="yes",Tiers!N22="yes",TRUE()),IF(Inputs!$B$13="yes",Tiers!O22="yes",TRUE())),1,0)</f>
        <v>1</v>
      </c>
      <c r="G22" s="8" t="n">
        <f aca="false">IF(Tiers!K22="yes",0,D22*E22*F22)</f>
        <v>0</v>
      </c>
      <c r="H22" s="15" t="str">
        <f aca="false">IF(G22=0,"",IF(Tiers!D22="per_seat",  IF(Inputs!$B$8="annual",IF(Tiers!E22="","",Tiers!E22*C22),                            IF(Tiers!F22="","",Tiers!F22*C22)),IF(Tiers!D22="flat",  IF(Inputs!$B$8="annual",IF(Tiers!G22="","",Tiers!G22/12),                            IF(Tiers!H22="","",Tiers!H22)),"")))</f>
        <v/>
      </c>
      <c r="I22" s="19" t="str">
        <f aca="false">IF(H22="","",H22*Inputs!$B$7)</f>
        <v/>
      </c>
      <c r="J22" s="8" t="str">
        <f aca="false">IF(Tiers!K22="yes","free tier, excluded from the paid comparison",IF(D22=0,"team is larger than this tier's seat cap",IF(E22=0,"no published price, contact sales",IF(F22=0,"does not meet a required capability",IF(H22="","not priced on the chosen billing cadence","")))))</f>
        <v>no published price, contact sales</v>
      </c>
    </row>
    <row r="23" customFormat="false" ht="15" hidden="false" customHeight="false" outlineLevel="0" collapsed="false">
      <c r="A23" s="20" t="str">
        <f aca="false">Tiers!A23</f>
        <v>Notion</v>
      </c>
      <c r="B23" s="20" t="str">
        <f aca="false">Tiers!B23</f>
        <v>Free</v>
      </c>
      <c r="C23" s="16" t="n">
        <f aca="false">MAX(Inputs!$B$5,IF(Tiers!I23="",1,Tiers!I23))</f>
        <v>25</v>
      </c>
      <c r="D23" s="16" t="n">
        <f aca="false">IF(Tiers!J23="",1,IF(Inputs!$B$5&lt;=Tiers!J23,1,0))</f>
        <v>1</v>
      </c>
      <c r="E23" s="16" t="n">
        <f aca="false">IF(Tiers!L23="public",1,0)</f>
        <v>1</v>
      </c>
      <c r="F23" s="16" t="n">
        <f aca="false">IF(AND(IF(Inputs!$B$11="yes",Tiers!M23="yes",TRUE()),IF(Inputs!$B$12="yes",Tiers!N23="yes",TRUE()),IF(Inputs!$B$13="yes",Tiers!O23="yes",TRUE())),1,0)</f>
        <v>1</v>
      </c>
      <c r="G23" s="16" t="n">
        <f aca="false">IF(Tiers!K23="yes",0,D23*E23*F23)</f>
        <v>0</v>
      </c>
      <c r="H23" s="17" t="str">
        <f aca="false">IF(G23=0,"",IF(Tiers!D23="per_seat",  IF(Inputs!$B$8="annual",IF(Tiers!E23="","",Tiers!E23*C23),                            IF(Tiers!F23="","",Tiers!F23*C23)),IF(Tiers!D23="flat",  IF(Inputs!$B$8="annual",IF(Tiers!G23="","",Tiers!G23/12),                            IF(Tiers!H23="","",Tiers!H23)),"")))</f>
        <v/>
      </c>
      <c r="I23" s="21" t="str">
        <f aca="false">IF(H23="","",H23*Inputs!$B$7)</f>
        <v/>
      </c>
      <c r="J23" s="16" t="str">
        <f aca="false">IF(Tiers!K23="yes","free tier, excluded from the paid comparison",IF(D23=0,"team is larger than this tier's seat cap",IF(E23=0,"no published price, contact sales",IF(F23=0,"does not meet a required capability",IF(H23="","not priced on the chosen billing cadence","")))))</f>
        <v>free tier, excluded from the paid comparison</v>
      </c>
    </row>
    <row r="24" customFormat="false" ht="15" hidden="false" customHeight="false" outlineLevel="0" collapsed="false">
      <c r="A24" s="18" t="str">
        <f aca="false">Tiers!A24</f>
        <v>Notion</v>
      </c>
      <c r="B24" s="18" t="str">
        <f aca="false">Tiers!B24</f>
        <v>Plus</v>
      </c>
      <c r="C24" s="8" t="n">
        <f aca="false">MAX(Inputs!$B$5,IF(Tiers!I24="",1,Tiers!I24))</f>
        <v>25</v>
      </c>
      <c r="D24" s="8" t="n">
        <f aca="false">IF(Tiers!J24="",1,IF(Inputs!$B$5&lt;=Tiers!J24,1,0))</f>
        <v>1</v>
      </c>
      <c r="E24" s="8" t="n">
        <f aca="false">IF(Tiers!L24="public",1,0)</f>
        <v>1</v>
      </c>
      <c r="F24" s="8" t="n">
        <f aca="false">IF(AND(IF(Inputs!$B$11="yes",Tiers!M24="yes",TRUE()),IF(Inputs!$B$12="yes",Tiers!N24="yes",TRUE()),IF(Inputs!$B$13="yes",Tiers!O24="yes",TRUE())),1,0)</f>
        <v>1</v>
      </c>
      <c r="G24" s="8" t="n">
        <f aca="false">IF(Tiers!K24="yes",0,D24*E24*F24)</f>
        <v>1</v>
      </c>
      <c r="H24" s="15" t="n">
        <f aca="false">IF(G24=0,"",IF(Tiers!D24="per_seat",  IF(Inputs!$B$8="annual",IF(Tiers!E24="","",Tiers!E24*C24),                            IF(Tiers!F24="","",Tiers!F24*C24)),IF(Tiers!D24="flat",  IF(Inputs!$B$8="annual",IF(Tiers!G24="","",Tiers!G24/12),                            IF(Tiers!H24="","",Tiers!H24)),"")))</f>
        <v>250</v>
      </c>
      <c r="I24" s="19" t="n">
        <f aca="false">IF(H24="","",H24*Inputs!$B$7)</f>
        <v>9000</v>
      </c>
      <c r="J24" s="8" t="str">
        <f aca="false">IF(Tiers!K24="yes","free tier, excluded from the paid comparison",IF(D24=0,"team is larger than this tier's seat cap",IF(E24=0,"no published price, contact sales",IF(F24=0,"does not meet a required capability",IF(H24="","not priced on the chosen billing cadence","")))))</f>
        <v/>
      </c>
    </row>
    <row r="25" customFormat="false" ht="15" hidden="false" customHeight="false" outlineLevel="0" collapsed="false">
      <c r="A25" s="20" t="str">
        <f aca="false">Tiers!A25</f>
        <v>Notion</v>
      </c>
      <c r="B25" s="20" t="str">
        <f aca="false">Tiers!B25</f>
        <v>Business</v>
      </c>
      <c r="C25" s="16" t="n">
        <f aca="false">MAX(Inputs!$B$5,IF(Tiers!I25="",1,Tiers!I25))</f>
        <v>25</v>
      </c>
      <c r="D25" s="16" t="n">
        <f aca="false">IF(Tiers!J25="",1,IF(Inputs!$B$5&lt;=Tiers!J25,1,0))</f>
        <v>1</v>
      </c>
      <c r="E25" s="16" t="n">
        <f aca="false">IF(Tiers!L25="public",1,0)</f>
        <v>1</v>
      </c>
      <c r="F25" s="16" t="n">
        <f aca="false">IF(AND(IF(Inputs!$B$11="yes",Tiers!M25="yes",TRUE()),IF(Inputs!$B$12="yes",Tiers!N25="yes",TRUE()),IF(Inputs!$B$13="yes",Tiers!O25="yes",TRUE())),1,0)</f>
        <v>1</v>
      </c>
      <c r="G25" s="16" t="n">
        <f aca="false">IF(Tiers!K25="yes",0,D25*E25*F25)</f>
        <v>1</v>
      </c>
      <c r="H25" s="17" t="n">
        <f aca="false">IF(G25=0,"",IF(Tiers!D25="per_seat",  IF(Inputs!$B$8="annual",IF(Tiers!E25="","",Tiers!E25*C25),                            IF(Tiers!F25="","",Tiers!F25*C25)),IF(Tiers!D25="flat",  IF(Inputs!$B$8="annual",IF(Tiers!G25="","",Tiers!G25/12),                            IF(Tiers!H25="","",Tiers!H25)),"")))</f>
        <v>500</v>
      </c>
      <c r="I25" s="21" t="n">
        <f aca="false">IF(H25="","",H25*Inputs!$B$7)</f>
        <v>18000</v>
      </c>
      <c r="J25" s="16" t="str">
        <f aca="false">IF(Tiers!K25="yes","free tier, excluded from the paid comparison",IF(D25=0,"team is larger than this tier's seat cap",IF(E25=0,"no published price, contact sales",IF(F25=0,"does not meet a required capability",IF(H25="","not priced on the chosen billing cadence","")))))</f>
        <v/>
      </c>
    </row>
    <row r="26" customFormat="false" ht="15" hidden="false" customHeight="false" outlineLevel="0" collapsed="false">
      <c r="A26" s="18" t="str">
        <f aca="false">Tiers!A26</f>
        <v>Notion</v>
      </c>
      <c r="B26" s="18" t="str">
        <f aca="false">Tiers!B26</f>
        <v>Enterprise</v>
      </c>
      <c r="C26" s="8" t="n">
        <f aca="false">MAX(Inputs!$B$5,IF(Tiers!I26="",1,Tiers!I26))</f>
        <v>25</v>
      </c>
      <c r="D26" s="8" t="n">
        <f aca="false">IF(Tiers!J26="",1,IF(Inputs!$B$5&lt;=Tiers!J26,1,0))</f>
        <v>1</v>
      </c>
      <c r="E26" s="8" t="n">
        <f aca="false">IF(Tiers!L26="public",1,0)</f>
        <v>0</v>
      </c>
      <c r="F26" s="8" t="n">
        <f aca="false">IF(AND(IF(Inputs!$B$11="yes",Tiers!M26="yes",TRUE()),IF(Inputs!$B$12="yes",Tiers!N26="yes",TRUE()),IF(Inputs!$B$13="yes",Tiers!O26="yes",TRUE())),1,0)</f>
        <v>1</v>
      </c>
      <c r="G26" s="8" t="n">
        <f aca="false">IF(Tiers!K26="yes",0,D26*E26*F26)</f>
        <v>0</v>
      </c>
      <c r="H26" s="15" t="str">
        <f aca="false">IF(G26=0,"",IF(Tiers!D26="per_seat",  IF(Inputs!$B$8="annual",IF(Tiers!E26="","",Tiers!E26*C26),                            IF(Tiers!F26="","",Tiers!F26*C26)),IF(Tiers!D26="flat",  IF(Inputs!$B$8="annual",IF(Tiers!G26="","",Tiers!G26/12),                            IF(Tiers!H26="","",Tiers!H26)),"")))</f>
        <v/>
      </c>
      <c r="I26" s="19" t="str">
        <f aca="false">IF(H26="","",H26*Inputs!$B$7)</f>
        <v/>
      </c>
      <c r="J26" s="8" t="str">
        <f aca="false">IF(Tiers!K26="yes","free tier, excluded from the paid comparison",IF(D26=0,"team is larger than this tier's seat cap",IF(E26=0,"no published price, contact sales",IF(F26=0,"does not meet a required capability",IF(H26="","not priced on the chosen billing cadence","")))))</f>
        <v>no published price, contact sales</v>
      </c>
    </row>
    <row r="27" customFormat="false" ht="15" hidden="false" customHeight="false" outlineLevel="0" collapsed="false">
      <c r="A27" s="20" t="str">
        <f aca="false">Tiers!A27</f>
        <v>Jira</v>
      </c>
      <c r="B27" s="20" t="str">
        <f aca="false">Tiers!B27</f>
        <v>Free</v>
      </c>
      <c r="C27" s="16" t="n">
        <f aca="false">MAX(Inputs!$B$5,IF(Tiers!I27="",1,Tiers!I27))</f>
        <v>25</v>
      </c>
      <c r="D27" s="16" t="n">
        <f aca="false">IF(Tiers!J27="",1,IF(Inputs!$B$5&lt;=Tiers!J27,1,0))</f>
        <v>1</v>
      </c>
      <c r="E27" s="16" t="n">
        <f aca="false">IF(Tiers!L27="public",1,0)</f>
        <v>1</v>
      </c>
      <c r="F27" s="16" t="n">
        <f aca="false">IF(AND(IF(Inputs!$B$11="yes",Tiers!M27="yes",TRUE()),IF(Inputs!$B$12="yes",Tiers!N27="yes",TRUE()),IF(Inputs!$B$13="yes",Tiers!O27="yes",TRUE())),1,0)</f>
        <v>1</v>
      </c>
      <c r="G27" s="16" t="n">
        <f aca="false">IF(Tiers!K27="yes",0,D27*E27*F27)</f>
        <v>0</v>
      </c>
      <c r="H27" s="17" t="str">
        <f aca="false">IF(G27=0,"",IF(Tiers!D27="per_seat",  IF(Inputs!$B$8="annual",IF(Tiers!E27="","",Tiers!E27*C27),                            IF(Tiers!F27="","",Tiers!F27*C27)),IF(Tiers!D27="flat",  IF(Inputs!$B$8="annual",IF(Tiers!G27="","",Tiers!G27/12),                            IF(Tiers!H27="","",Tiers!H27)),"")))</f>
        <v/>
      </c>
      <c r="I27" s="21" t="str">
        <f aca="false">IF(H27="","",H27*Inputs!$B$7)</f>
        <v/>
      </c>
      <c r="J27" s="16" t="str">
        <f aca="false">IF(Tiers!K27="yes","free tier, excluded from the paid comparison",IF(D27=0,"team is larger than this tier's seat cap",IF(E27=0,"no published price, contact sales",IF(F27=0,"does not meet a required capability",IF(H27="","not priced on the chosen billing cadence","")))))</f>
        <v>free tier, excluded from the paid comparison</v>
      </c>
    </row>
    <row r="28" customFormat="false" ht="15" hidden="false" customHeight="false" outlineLevel="0" collapsed="false">
      <c r="A28" s="18" t="str">
        <f aca="false">Tiers!A28</f>
        <v>Jira</v>
      </c>
      <c r="B28" s="18" t="str">
        <f aca="false">Tiers!B28</f>
        <v>Standard</v>
      </c>
      <c r="C28" s="8" t="n">
        <f aca="false">MAX(Inputs!$B$5,IF(Tiers!I28="",1,Tiers!I28))</f>
        <v>25</v>
      </c>
      <c r="D28" s="8" t="n">
        <f aca="false">IF(Tiers!J28="",1,IF(Inputs!$B$5&lt;=Tiers!J28,1,0))</f>
        <v>1</v>
      </c>
      <c r="E28" s="8" t="n">
        <f aca="false">IF(Tiers!L28="public",1,0)</f>
        <v>1</v>
      </c>
      <c r="F28" s="8" t="n">
        <f aca="false">IF(AND(IF(Inputs!$B$11="yes",Tiers!M28="yes",TRUE()),IF(Inputs!$B$12="yes",Tiers!N28="yes",TRUE()),IF(Inputs!$B$13="yes",Tiers!O28="yes",TRUE())),1,0)</f>
        <v>1</v>
      </c>
      <c r="G28" s="8" t="n">
        <f aca="false">IF(Tiers!K28="yes",0,D28*E28*F28)</f>
        <v>1</v>
      </c>
      <c r="H28" s="15" t="n">
        <f aca="false">IF(G28=0,"",IF(Tiers!D28="per_seat",  IF(Inputs!$B$8="annual",IF(Tiers!E28="","",Tiers!E28*C28),                            IF(Tiers!F28="","",Tiers!F28*C28)),IF(Tiers!D28="flat",  IF(Inputs!$B$8="annual",IF(Tiers!G28="","",Tiers!G28/12),                            IF(Tiers!H28="","",Tiers!H28)),"")))</f>
        <v>187.5</v>
      </c>
      <c r="I28" s="19" t="n">
        <f aca="false">IF(H28="","",H28*Inputs!$B$7)</f>
        <v>6750</v>
      </c>
      <c r="J28" s="8" t="str">
        <f aca="false">IF(Tiers!K28="yes","free tier, excluded from the paid comparison",IF(D28=0,"team is larger than this tier's seat cap",IF(E28=0,"no published price, contact sales",IF(F28=0,"does not meet a required capability",IF(H28="","not priced on the chosen billing cadence","")))))</f>
        <v/>
      </c>
    </row>
    <row r="29" customFormat="false" ht="15" hidden="false" customHeight="false" outlineLevel="0" collapsed="false">
      <c r="A29" s="20" t="str">
        <f aca="false">Tiers!A29</f>
        <v>Jira</v>
      </c>
      <c r="B29" s="20" t="str">
        <f aca="false">Tiers!B29</f>
        <v>Premium</v>
      </c>
      <c r="C29" s="16" t="n">
        <f aca="false">MAX(Inputs!$B$5,IF(Tiers!I29="",1,Tiers!I29))</f>
        <v>25</v>
      </c>
      <c r="D29" s="16" t="n">
        <f aca="false">IF(Tiers!J29="",1,IF(Inputs!$B$5&lt;=Tiers!J29,1,0))</f>
        <v>1</v>
      </c>
      <c r="E29" s="16" t="n">
        <f aca="false">IF(Tiers!L29="public",1,0)</f>
        <v>1</v>
      </c>
      <c r="F29" s="16" t="n">
        <f aca="false">IF(AND(IF(Inputs!$B$11="yes",Tiers!M29="yes",TRUE()),IF(Inputs!$B$12="yes",Tiers!N29="yes",TRUE()),IF(Inputs!$B$13="yes",Tiers!O29="yes",TRUE())),1,0)</f>
        <v>1</v>
      </c>
      <c r="G29" s="16" t="n">
        <f aca="false">IF(Tiers!K29="yes",0,D29*E29*F29)</f>
        <v>1</v>
      </c>
      <c r="H29" s="17" t="n">
        <f aca="false">IF(G29=0,"",IF(Tiers!D29="per_seat",  IF(Inputs!$B$8="annual",IF(Tiers!E29="","",Tiers!E29*C29),                            IF(Tiers!F29="","",Tiers!F29*C29)),IF(Tiers!D29="flat",  IF(Inputs!$B$8="annual",IF(Tiers!G29="","",Tiers!G29/12),                            IF(Tiers!H29="","",Tiers!H29)),"")))</f>
        <v>385.5</v>
      </c>
      <c r="I29" s="21" t="n">
        <f aca="false">IF(H29="","",H29*Inputs!$B$7)</f>
        <v>13878</v>
      </c>
      <c r="J29" s="16" t="str">
        <f aca="false">IF(Tiers!K29="yes","free tier, excluded from the paid comparison",IF(D29=0,"team is larger than this tier's seat cap",IF(E29=0,"no published price, contact sales",IF(F29=0,"does not meet a required capability",IF(H29="","not priced on the chosen billing cadence","")))))</f>
        <v/>
      </c>
    </row>
    <row r="30" customFormat="false" ht="15" hidden="false" customHeight="false" outlineLevel="0" collapsed="false">
      <c r="A30" s="18" t="str">
        <f aca="false">Tiers!A30</f>
        <v>Jira</v>
      </c>
      <c r="B30" s="18" t="str">
        <f aca="false">Tiers!B30</f>
        <v>Enterprise</v>
      </c>
      <c r="C30" s="8" t="n">
        <f aca="false">MAX(Inputs!$B$5,IF(Tiers!I30="",1,Tiers!I30))</f>
        <v>25</v>
      </c>
      <c r="D30" s="8" t="n">
        <f aca="false">IF(Tiers!J30="",1,IF(Inputs!$B$5&lt;=Tiers!J30,1,0))</f>
        <v>1</v>
      </c>
      <c r="E30" s="8" t="n">
        <f aca="false">IF(Tiers!L30="public",1,0)</f>
        <v>0</v>
      </c>
      <c r="F30" s="8" t="n">
        <f aca="false">IF(AND(IF(Inputs!$B$11="yes",Tiers!M30="yes",TRUE()),IF(Inputs!$B$12="yes",Tiers!N30="yes",TRUE()),IF(Inputs!$B$13="yes",Tiers!O30="yes",TRUE())),1,0)</f>
        <v>1</v>
      </c>
      <c r="G30" s="8" t="n">
        <f aca="false">IF(Tiers!K30="yes",0,D30*E30*F30)</f>
        <v>0</v>
      </c>
      <c r="H30" s="15" t="str">
        <f aca="false">IF(G30=0,"",IF(Tiers!D30="per_seat",  IF(Inputs!$B$8="annual",IF(Tiers!E30="","",Tiers!E30*C30),                            IF(Tiers!F30="","",Tiers!F30*C30)),IF(Tiers!D30="flat",  IF(Inputs!$B$8="annual",IF(Tiers!G30="","",Tiers!G30/12),                            IF(Tiers!H30="","",Tiers!H30)),"")))</f>
        <v/>
      </c>
      <c r="I30" s="19" t="str">
        <f aca="false">IF(H30="","",H30*Inputs!$B$7)</f>
        <v/>
      </c>
      <c r="J30" s="8" t="str">
        <f aca="false">IF(Tiers!K30="yes","free tier, excluded from the paid comparison",IF(D30=0,"team is larger than this tier's seat cap",IF(E30=0,"no published price, contact sales",IF(F30=0,"does not meet a required capability",IF(H30="","not priced on the chosen billing cadence","")))))</f>
        <v>no published price, contact sales</v>
      </c>
    </row>
    <row r="31" customFormat="false" ht="15" hidden="false" customHeight="false" outlineLevel="0" collapsed="false">
      <c r="A31" s="20" t="str">
        <f aca="false">Tiers!A31</f>
        <v>Basecamp</v>
      </c>
      <c r="B31" s="20" t="str">
        <f aca="false">Tiers!B31</f>
        <v>Free</v>
      </c>
      <c r="C31" s="16" t="n">
        <f aca="false">MAX(Inputs!$B$5,IF(Tiers!I31="",1,Tiers!I31))</f>
        <v>25</v>
      </c>
      <c r="D31" s="16" t="n">
        <f aca="false">IF(Tiers!J31="",1,IF(Inputs!$B$5&lt;=Tiers!J31,1,0))</f>
        <v>0</v>
      </c>
      <c r="E31" s="16" t="n">
        <f aca="false">IF(Tiers!L31="public",1,0)</f>
        <v>1</v>
      </c>
      <c r="F31" s="16" t="n">
        <f aca="false">IF(AND(IF(Inputs!$B$11="yes",Tiers!M31="yes",TRUE()),IF(Inputs!$B$12="yes",Tiers!N31="yes",TRUE()),IF(Inputs!$B$13="yes",Tiers!O31="yes",TRUE())),1,0)</f>
        <v>1</v>
      </c>
      <c r="G31" s="16" t="n">
        <f aca="false">IF(Tiers!K31="yes",0,D31*E31*F31)</f>
        <v>0</v>
      </c>
      <c r="H31" s="17" t="str">
        <f aca="false">IF(G31=0,"",IF(Tiers!D31="per_seat",  IF(Inputs!$B$8="annual",IF(Tiers!E31="","",Tiers!E31*C31),                            IF(Tiers!F31="","",Tiers!F31*C31)),IF(Tiers!D31="flat",  IF(Inputs!$B$8="annual",IF(Tiers!G31="","",Tiers!G31/12),                            IF(Tiers!H31="","",Tiers!H31)),"")))</f>
        <v/>
      </c>
      <c r="I31" s="21" t="str">
        <f aca="false">IF(H31="","",H31*Inputs!$B$7)</f>
        <v/>
      </c>
      <c r="J31" s="16" t="str">
        <f aca="false">IF(Tiers!K31="yes","free tier, excluded from the paid comparison",IF(D31=0,"team is larger than this tier's seat cap",IF(E31=0,"no published price, contact sales",IF(F31=0,"does not meet a required capability",IF(H31="","not priced on the chosen billing cadence","")))))</f>
        <v>free tier, excluded from the paid comparison</v>
      </c>
    </row>
    <row r="32" customFormat="false" ht="15" hidden="false" customHeight="false" outlineLevel="0" collapsed="false">
      <c r="A32" s="18" t="str">
        <f aca="false">Tiers!A32</f>
        <v>Basecamp</v>
      </c>
      <c r="B32" s="18" t="str">
        <f aca="false">Tiers!B32</f>
        <v>Freelancer</v>
      </c>
      <c r="C32" s="8" t="n">
        <f aca="false">MAX(Inputs!$B$5,IF(Tiers!I32="",1,Tiers!I32))</f>
        <v>25</v>
      </c>
      <c r="D32" s="8" t="n">
        <f aca="false">IF(Tiers!J32="",1,IF(Inputs!$B$5&lt;=Tiers!J32,1,0))</f>
        <v>0</v>
      </c>
      <c r="E32" s="8" t="n">
        <f aca="false">IF(Tiers!L32="public",1,0)</f>
        <v>1</v>
      </c>
      <c r="F32" s="8" t="n">
        <f aca="false">IF(AND(IF(Inputs!$B$11="yes",Tiers!M32="yes",TRUE()),IF(Inputs!$B$12="yes",Tiers!N32="yes",TRUE()),IF(Inputs!$B$13="yes",Tiers!O32="yes",TRUE())),1,0)</f>
        <v>1</v>
      </c>
      <c r="G32" s="8" t="n">
        <f aca="false">IF(Tiers!K32="yes",0,D32*E32*F32)</f>
        <v>0</v>
      </c>
      <c r="H32" s="15" t="str">
        <f aca="false">IF(G32=0,"",IF(Tiers!D32="per_seat",  IF(Inputs!$B$8="annual",IF(Tiers!E32="","",Tiers!E32*C32),                            IF(Tiers!F32="","",Tiers!F32*C32)),IF(Tiers!D32="flat",  IF(Inputs!$B$8="annual",IF(Tiers!G32="","",Tiers!G32/12),                            IF(Tiers!H32="","",Tiers!H32)),"")))</f>
        <v/>
      </c>
      <c r="I32" s="19" t="str">
        <f aca="false">IF(H32="","",H32*Inputs!$B$7)</f>
        <v/>
      </c>
      <c r="J32" s="8" t="str">
        <f aca="false">IF(Tiers!K32="yes","free tier, excluded from the paid comparison",IF(D32=0,"team is larger than this tier's seat cap",IF(E32=0,"no published price, contact sales",IF(F32=0,"does not meet a required capability",IF(H32="","not priced on the chosen billing cadence","")))))</f>
        <v>team is larger than this tier's seat cap</v>
      </c>
    </row>
    <row r="33" customFormat="false" ht="15" hidden="false" customHeight="false" outlineLevel="0" collapsed="false">
      <c r="A33" s="20" t="str">
        <f aca="false">Tiers!A33</f>
        <v>Basecamp</v>
      </c>
      <c r="B33" s="20" t="str">
        <f aca="false">Tiers!B33</f>
        <v>Studio</v>
      </c>
      <c r="C33" s="16" t="n">
        <f aca="false">MAX(Inputs!$B$5,IF(Tiers!I33="",1,Tiers!I33))</f>
        <v>25</v>
      </c>
      <c r="D33" s="16" t="n">
        <f aca="false">IF(Tiers!J33="",1,IF(Inputs!$B$5&lt;=Tiers!J33,1,0))</f>
        <v>1</v>
      </c>
      <c r="E33" s="16" t="n">
        <f aca="false">IF(Tiers!L33="public",1,0)</f>
        <v>1</v>
      </c>
      <c r="F33" s="16" t="n">
        <f aca="false">IF(AND(IF(Inputs!$B$11="yes",Tiers!M33="yes",TRUE()),IF(Inputs!$B$12="yes",Tiers!N33="yes",TRUE()),IF(Inputs!$B$13="yes",Tiers!O33="yes",TRUE())),1,0)</f>
        <v>1</v>
      </c>
      <c r="G33" s="16" t="n">
        <f aca="false">IF(Tiers!K33="yes",0,D33*E33*F33)</f>
        <v>1</v>
      </c>
      <c r="H33" s="17" t="n">
        <f aca="false">IF(G33=0,"",IF(Tiers!D33="per_seat",  IF(Inputs!$B$8="annual",IF(Tiers!E33="","",Tiers!E33*C33),                            IF(Tiers!F33="","",Tiers!F33*C33)),IF(Tiers!D33="flat",  IF(Inputs!$B$8="annual",IF(Tiers!G33="","",Tiers!G33/12),                            IF(Tiers!H33="","",Tiers!H33)),"")))</f>
        <v>49.1666666666667</v>
      </c>
      <c r="I33" s="21" t="n">
        <f aca="false">IF(H33="","",H33*Inputs!$B$7)</f>
        <v>1770</v>
      </c>
      <c r="J33" s="16" t="str">
        <f aca="false">IF(Tiers!K33="yes","free tier, excluded from the paid comparison",IF(D33=0,"team is larger than this tier's seat cap",IF(E33=0,"no published price, contact sales",IF(F33=0,"does not meet a required capability",IF(H33="","not priced on the chosen billing cadence","")))))</f>
        <v/>
      </c>
    </row>
    <row r="34" customFormat="false" ht="15" hidden="false" customHeight="false" outlineLevel="0" collapsed="false">
      <c r="A34" s="18" t="str">
        <f aca="false">Tiers!A34</f>
        <v>Basecamp</v>
      </c>
      <c r="B34" s="18" t="str">
        <f aca="false">Tiers!B34</f>
        <v>Pro</v>
      </c>
      <c r="C34" s="8" t="n">
        <f aca="false">MAX(Inputs!$B$5,IF(Tiers!I34="",1,Tiers!I34))</f>
        <v>25</v>
      </c>
      <c r="D34" s="8" t="n">
        <f aca="false">IF(Tiers!J34="",1,IF(Inputs!$B$5&lt;=Tiers!J34,1,0))</f>
        <v>1</v>
      </c>
      <c r="E34" s="8" t="n">
        <f aca="false">IF(Tiers!L34="public",1,0)</f>
        <v>1</v>
      </c>
      <c r="F34" s="8" t="n">
        <f aca="false">IF(AND(IF(Inputs!$B$11="yes",Tiers!M34="yes",TRUE()),IF(Inputs!$B$12="yes",Tiers!N34="yes",TRUE()),IF(Inputs!$B$13="yes",Tiers!O34="yes",TRUE())),1,0)</f>
        <v>1</v>
      </c>
      <c r="G34" s="8" t="n">
        <f aca="false">IF(Tiers!K34="yes",0,D34*E34*F34)</f>
        <v>1</v>
      </c>
      <c r="H34" s="15" t="n">
        <f aca="false">IF(G34=0,"",IF(Tiers!D34="per_seat",  IF(Inputs!$B$8="annual",IF(Tiers!E34="","",Tiers!E34*C34),                            IF(Tiers!F34="","",Tiers!F34*C34)),IF(Tiers!D34="flat",  IF(Inputs!$B$8="annual",IF(Tiers!G34="","",Tiers!G34/12),                            IF(Tiers!H34="","",Tiers!H34)),"")))</f>
        <v>82.5</v>
      </c>
      <c r="I34" s="19" t="n">
        <f aca="false">IF(H34="","",H34*Inputs!$B$7)</f>
        <v>2970</v>
      </c>
      <c r="J34" s="8" t="str">
        <f aca="false">IF(Tiers!K34="yes","free tier, excluded from the paid comparison",IF(D34=0,"team is larger than this tier's seat cap",IF(E34=0,"no published price, contact sales",IF(F34=0,"does not meet a required capability",IF(H34="","not priced on the chosen billing cadence","")))))</f>
        <v/>
      </c>
    </row>
    <row r="35" customFormat="false" ht="15" hidden="false" customHeight="false" outlineLevel="0" collapsed="false">
      <c r="A35" s="20" t="str">
        <f aca="false">Tiers!A35</f>
        <v>Basecamp</v>
      </c>
      <c r="B35" s="20" t="str">
        <f aca="false">Tiers!B35</f>
        <v>Unlimited Edition</v>
      </c>
      <c r="C35" s="16" t="n">
        <f aca="false">MAX(Inputs!$B$5,IF(Tiers!I35="",1,Tiers!I35))</f>
        <v>25</v>
      </c>
      <c r="D35" s="16" t="n">
        <f aca="false">IF(Tiers!J35="",1,IF(Inputs!$B$5&lt;=Tiers!J35,1,0))</f>
        <v>1</v>
      </c>
      <c r="E35" s="16" t="n">
        <f aca="false">IF(Tiers!L35="public",1,0)</f>
        <v>1</v>
      </c>
      <c r="F35" s="16" t="n">
        <f aca="false">IF(AND(IF(Inputs!$B$11="yes",Tiers!M35="yes",TRUE()),IF(Inputs!$B$12="yes",Tiers!N35="yes",TRUE()),IF(Inputs!$B$13="yes",Tiers!O35="yes",TRUE())),1,0)</f>
        <v>1</v>
      </c>
      <c r="G35" s="16" t="n">
        <f aca="false">IF(Tiers!K35="yes",0,D35*E35*F35)</f>
        <v>1</v>
      </c>
      <c r="H35" s="17" t="n">
        <f aca="false">IF(G35=0,"",IF(Tiers!D35="per_seat",  IF(Inputs!$B$8="annual",IF(Tiers!E35="","",Tiers!E35*C35),                            IF(Tiers!F35="","",Tiers!F35*C35)),IF(Tiers!D35="flat",  IF(Inputs!$B$8="annual",IF(Tiers!G35="","",Tiers!G35/12),                            IF(Tiers!H35="","",Tiers!H35)),"")))</f>
        <v>299</v>
      </c>
      <c r="I35" s="21" t="n">
        <f aca="false">IF(H35="","",H35*Inputs!$B$7)</f>
        <v>10764</v>
      </c>
      <c r="J35" s="16" t="str">
        <f aca="false">IF(Tiers!K35="yes","free tier, excluded from the paid comparison",IF(D35=0,"team is larger than this tier's seat cap",IF(E35=0,"no published price, contact sales",IF(F35=0,"does not meet a required capability",IF(H35="","not priced on the chosen billing cadence","")))))</f>
        <v/>
      </c>
    </row>
    <row r="36" customFormat="false" ht="15" hidden="false" customHeight="false" outlineLevel="0" collapsed="false">
      <c r="A36" s="18" t="str">
        <f aca="false">Tiers!A36</f>
        <v>Wrike</v>
      </c>
      <c r="B36" s="18" t="str">
        <f aca="false">Tiers!B36</f>
        <v>Free</v>
      </c>
      <c r="C36" s="8" t="n">
        <f aca="false">MAX(Inputs!$B$5,IF(Tiers!I36="",1,Tiers!I36))</f>
        <v>25</v>
      </c>
      <c r="D36" s="8" t="n">
        <f aca="false">IF(Tiers!J36="",1,IF(Inputs!$B$5&lt;=Tiers!J36,1,0))</f>
        <v>1</v>
      </c>
      <c r="E36" s="8" t="n">
        <f aca="false">IF(Tiers!L36="public",1,0)</f>
        <v>1</v>
      </c>
      <c r="F36" s="8" t="n">
        <f aca="false">IF(AND(IF(Inputs!$B$11="yes",Tiers!M36="yes",TRUE()),IF(Inputs!$B$12="yes",Tiers!N36="yes",TRUE()),IF(Inputs!$B$13="yes",Tiers!O36="yes",TRUE())),1,0)</f>
        <v>1</v>
      </c>
      <c r="G36" s="8" t="n">
        <f aca="false">IF(Tiers!K36="yes",0,D36*E36*F36)</f>
        <v>0</v>
      </c>
      <c r="H36" s="15" t="str">
        <f aca="false">IF(G36=0,"",IF(Tiers!D36="per_seat",  IF(Inputs!$B$8="annual",IF(Tiers!E36="","",Tiers!E36*C36),                            IF(Tiers!F36="","",Tiers!F36*C36)),IF(Tiers!D36="flat",  IF(Inputs!$B$8="annual",IF(Tiers!G36="","",Tiers!G36/12),                            IF(Tiers!H36="","",Tiers!H36)),"")))</f>
        <v/>
      </c>
      <c r="I36" s="19" t="str">
        <f aca="false">IF(H36="","",H36*Inputs!$B$7)</f>
        <v/>
      </c>
      <c r="J36" s="8" t="str">
        <f aca="false">IF(Tiers!K36="yes","free tier, excluded from the paid comparison",IF(D36=0,"team is larger than this tier's seat cap",IF(E36=0,"no published price, contact sales",IF(F36=0,"does not meet a required capability",IF(H36="","not priced on the chosen billing cadence","")))))</f>
        <v>free tier, excluded from the paid comparison</v>
      </c>
    </row>
    <row r="37" customFormat="false" ht="15" hidden="false" customHeight="false" outlineLevel="0" collapsed="false">
      <c r="A37" s="20" t="str">
        <f aca="false">Tiers!A37</f>
        <v>Wrike</v>
      </c>
      <c r="B37" s="20" t="str">
        <f aca="false">Tiers!B37</f>
        <v>Team</v>
      </c>
      <c r="C37" s="16" t="n">
        <f aca="false">MAX(Inputs!$B$5,IF(Tiers!I37="",1,Tiers!I37))</f>
        <v>25</v>
      </c>
      <c r="D37" s="16" t="n">
        <f aca="false">IF(Tiers!J37="",1,IF(Inputs!$B$5&lt;=Tiers!J37,1,0))</f>
        <v>0</v>
      </c>
      <c r="E37" s="16" t="n">
        <f aca="false">IF(Tiers!L37="public",1,0)</f>
        <v>1</v>
      </c>
      <c r="F37" s="16" t="n">
        <f aca="false">IF(AND(IF(Inputs!$B$11="yes",Tiers!M37="yes",TRUE()),IF(Inputs!$B$12="yes",Tiers!N37="yes",TRUE()),IF(Inputs!$B$13="yes",Tiers!O37="yes",TRUE())),1,0)</f>
        <v>1</v>
      </c>
      <c r="G37" s="16" t="n">
        <f aca="false">IF(Tiers!K37="yes",0,D37*E37*F37)</f>
        <v>0</v>
      </c>
      <c r="H37" s="17" t="str">
        <f aca="false">IF(G37=0,"",IF(Tiers!D37="per_seat",  IF(Inputs!$B$8="annual",IF(Tiers!E37="","",Tiers!E37*C37),                            IF(Tiers!F37="","",Tiers!F37*C37)),IF(Tiers!D37="flat",  IF(Inputs!$B$8="annual",IF(Tiers!G37="","",Tiers!G37/12),                            IF(Tiers!H37="","",Tiers!H37)),"")))</f>
        <v/>
      </c>
      <c r="I37" s="21" t="str">
        <f aca="false">IF(H37="","",H37*Inputs!$B$7)</f>
        <v/>
      </c>
      <c r="J37" s="16" t="str">
        <f aca="false">IF(Tiers!K37="yes","free tier, excluded from the paid comparison",IF(D37=0,"team is larger than this tier's seat cap",IF(E37=0,"no published price, contact sales",IF(F37=0,"does not meet a required capability",IF(H37="","not priced on the chosen billing cadence","")))))</f>
        <v>team is larger than this tier's seat cap</v>
      </c>
    </row>
    <row r="38" customFormat="false" ht="15" hidden="false" customHeight="false" outlineLevel="0" collapsed="false">
      <c r="A38" s="18" t="str">
        <f aca="false">Tiers!A38</f>
        <v>Wrike</v>
      </c>
      <c r="B38" s="18" t="str">
        <f aca="false">Tiers!B38</f>
        <v>Business</v>
      </c>
      <c r="C38" s="8" t="n">
        <f aca="false">MAX(Inputs!$B$5,IF(Tiers!I38="",1,Tiers!I38))</f>
        <v>25</v>
      </c>
      <c r="D38" s="8" t="n">
        <f aca="false">IF(Tiers!J38="",1,IF(Inputs!$B$5&lt;=Tiers!J38,1,0))</f>
        <v>1</v>
      </c>
      <c r="E38" s="8" t="n">
        <f aca="false">IF(Tiers!L38="public",1,0)</f>
        <v>1</v>
      </c>
      <c r="F38" s="8" t="n">
        <f aca="false">IF(AND(IF(Inputs!$B$11="yes",Tiers!M38="yes",TRUE()),IF(Inputs!$B$12="yes",Tiers!N38="yes",TRUE()),IF(Inputs!$B$13="yes",Tiers!O38="yes",TRUE())),1,0)</f>
        <v>1</v>
      </c>
      <c r="G38" s="8" t="n">
        <f aca="false">IF(Tiers!K38="yes",0,D38*E38*F38)</f>
        <v>1</v>
      </c>
      <c r="H38" s="15" t="n">
        <f aca="false">IF(G38=0,"",IF(Tiers!D38="per_seat",  IF(Inputs!$B$8="annual",IF(Tiers!E38="","",Tiers!E38*C38),                            IF(Tiers!F38="","",Tiers!F38*C38)),IF(Tiers!D38="flat",  IF(Inputs!$B$8="annual",IF(Tiers!G38="","",Tiers!G38/12),                            IF(Tiers!H38="","",Tiers!H38)),"")))</f>
        <v>625</v>
      </c>
      <c r="I38" s="19" t="n">
        <f aca="false">IF(H38="","",H38*Inputs!$B$7)</f>
        <v>22500</v>
      </c>
      <c r="J38" s="8" t="str">
        <f aca="false">IF(Tiers!K38="yes","free tier, excluded from the paid comparison",IF(D38=0,"team is larger than this tier's seat cap",IF(E38=0,"no published price, contact sales",IF(F38=0,"does not meet a required capability",IF(H38="","not priced on the chosen billing cadence","")))))</f>
        <v/>
      </c>
    </row>
    <row r="39" customFormat="false" ht="15" hidden="false" customHeight="false" outlineLevel="0" collapsed="false">
      <c r="A39" s="20" t="str">
        <f aca="false">Tiers!A39</f>
        <v>Wrike</v>
      </c>
      <c r="B39" s="20" t="str">
        <f aca="false">Tiers!B39</f>
        <v>Pinnacle</v>
      </c>
      <c r="C39" s="16" t="n">
        <f aca="false">MAX(Inputs!$B$5,IF(Tiers!I39="",1,Tiers!I39))</f>
        <v>25</v>
      </c>
      <c r="D39" s="16" t="n">
        <f aca="false">IF(Tiers!J39="",1,IF(Inputs!$B$5&lt;=Tiers!J39,1,0))</f>
        <v>1</v>
      </c>
      <c r="E39" s="16" t="n">
        <f aca="false">IF(Tiers!L39="public",1,0)</f>
        <v>0</v>
      </c>
      <c r="F39" s="16" t="n">
        <f aca="false">IF(AND(IF(Inputs!$B$11="yes",Tiers!M39="yes",TRUE()),IF(Inputs!$B$12="yes",Tiers!N39="yes",TRUE()),IF(Inputs!$B$13="yes",Tiers!O39="yes",TRUE())),1,0)</f>
        <v>1</v>
      </c>
      <c r="G39" s="16" t="n">
        <f aca="false">IF(Tiers!K39="yes",0,D39*E39*F39)</f>
        <v>0</v>
      </c>
      <c r="H39" s="17" t="str">
        <f aca="false">IF(G39=0,"",IF(Tiers!D39="per_seat",  IF(Inputs!$B$8="annual",IF(Tiers!E39="","",Tiers!E39*C39),                            IF(Tiers!F39="","",Tiers!F39*C39)),IF(Tiers!D39="flat",  IF(Inputs!$B$8="annual",IF(Tiers!G39="","",Tiers!G39/12),                            IF(Tiers!H39="","",Tiers!H39)),"")))</f>
        <v/>
      </c>
      <c r="I39" s="21" t="str">
        <f aca="false">IF(H39="","",H39*Inputs!$B$7)</f>
        <v/>
      </c>
      <c r="J39" s="16" t="str">
        <f aca="false">IF(Tiers!K39="yes","free tier, excluded from the paid comparison",IF(D39=0,"team is larger than this tier's seat cap",IF(E39=0,"no published price, contact sales",IF(F39=0,"does not meet a required capability",IF(H39="","not priced on the chosen billing cadence","")))))</f>
        <v>no published price, contact sales</v>
      </c>
    </row>
    <row r="40" customFormat="false" ht="15" hidden="false" customHeight="false" outlineLevel="0" collapsed="false">
      <c r="A40" s="18" t="str">
        <f aca="false">Tiers!A40</f>
        <v>Wrike</v>
      </c>
      <c r="B40" s="18" t="str">
        <f aca="false">Tiers!B40</f>
        <v>Apex</v>
      </c>
      <c r="C40" s="8" t="n">
        <f aca="false">MAX(Inputs!$B$5,IF(Tiers!I40="",1,Tiers!I40))</f>
        <v>25</v>
      </c>
      <c r="D40" s="8" t="n">
        <f aca="false">IF(Tiers!J40="",1,IF(Inputs!$B$5&lt;=Tiers!J40,1,0))</f>
        <v>1</v>
      </c>
      <c r="E40" s="8" t="n">
        <f aca="false">IF(Tiers!L40="public",1,0)</f>
        <v>0</v>
      </c>
      <c r="F40" s="8" t="n">
        <f aca="false">IF(AND(IF(Inputs!$B$11="yes",Tiers!M40="yes",TRUE()),IF(Inputs!$B$12="yes",Tiers!N40="yes",TRUE()),IF(Inputs!$B$13="yes",Tiers!O40="yes",TRUE())),1,0)</f>
        <v>1</v>
      </c>
      <c r="G40" s="8" t="n">
        <f aca="false">IF(Tiers!K40="yes",0,D40*E40*F40)</f>
        <v>0</v>
      </c>
      <c r="H40" s="15" t="str">
        <f aca="false">IF(G40=0,"",IF(Tiers!D40="per_seat",  IF(Inputs!$B$8="annual",IF(Tiers!E40="","",Tiers!E40*C40),                            IF(Tiers!F40="","",Tiers!F40*C40)),IF(Tiers!D40="flat",  IF(Inputs!$B$8="annual",IF(Tiers!G40="","",Tiers!G40/12),                            IF(Tiers!H40="","",Tiers!H40)),"")))</f>
        <v/>
      </c>
      <c r="I40" s="19" t="str">
        <f aca="false">IF(H40="","",H40*Inputs!$B$7)</f>
        <v/>
      </c>
      <c r="J40" s="8" t="str">
        <f aca="false">IF(Tiers!K40="yes","free tier, excluded from the paid comparison",IF(D40=0,"team is larger than this tier's seat cap",IF(E40=0,"no published price, contact sales",IF(F40=0,"does not meet a required capability",IF(H40="","not priced on the chosen billing cadence","")))))</f>
        <v>no published price, contact sales</v>
      </c>
    </row>
    <row r="41" customFormat="false" ht="15" hidden="false" customHeight="false" outlineLevel="0" collapsed="false">
      <c r="A41" s="20" t="str">
        <f aca="false">Tiers!A41</f>
        <v>Teamwork.com</v>
      </c>
      <c r="B41" s="20" t="str">
        <f aca="false">Tiers!B41</f>
        <v>Free</v>
      </c>
      <c r="C41" s="16" t="n">
        <f aca="false">MAX(Inputs!$B$5,IF(Tiers!I41="",1,Tiers!I41))</f>
        <v>25</v>
      </c>
      <c r="D41" s="16" t="n">
        <f aca="false">IF(Tiers!J41="",1,IF(Inputs!$B$5&lt;=Tiers!J41,1,0))</f>
        <v>0</v>
      </c>
      <c r="E41" s="16" t="n">
        <f aca="false">IF(Tiers!L41="public",1,0)</f>
        <v>1</v>
      </c>
      <c r="F41" s="16" t="n">
        <f aca="false">IF(AND(IF(Inputs!$B$11="yes",Tiers!M41="yes",TRUE()),IF(Inputs!$B$12="yes",Tiers!N41="yes",TRUE()),IF(Inputs!$B$13="yes",Tiers!O41="yes",TRUE())),1,0)</f>
        <v>1</v>
      </c>
      <c r="G41" s="16" t="n">
        <f aca="false">IF(Tiers!K41="yes",0,D41*E41*F41)</f>
        <v>0</v>
      </c>
      <c r="H41" s="17" t="str">
        <f aca="false">IF(G41=0,"",IF(Tiers!D41="per_seat",  IF(Inputs!$B$8="annual",IF(Tiers!E41="","",Tiers!E41*C41),                            IF(Tiers!F41="","",Tiers!F41*C41)),IF(Tiers!D41="flat",  IF(Inputs!$B$8="annual",IF(Tiers!G41="","",Tiers!G41/12),                            IF(Tiers!H41="","",Tiers!H41)),"")))</f>
        <v/>
      </c>
      <c r="I41" s="21" t="str">
        <f aca="false">IF(H41="","",H41*Inputs!$B$7)</f>
        <v/>
      </c>
      <c r="J41" s="16" t="str">
        <f aca="false">IF(Tiers!K41="yes","free tier, excluded from the paid comparison",IF(D41=0,"team is larger than this tier's seat cap",IF(E41=0,"no published price, contact sales",IF(F41=0,"does not meet a required capability",IF(H41="","not priced on the chosen billing cadence","")))))</f>
        <v>free tier, excluded from the paid comparison</v>
      </c>
    </row>
    <row r="42" customFormat="false" ht="15" hidden="false" customHeight="false" outlineLevel="0" collapsed="false">
      <c r="A42" s="18" t="str">
        <f aca="false">Tiers!A42</f>
        <v>Teamwork.com</v>
      </c>
      <c r="B42" s="18" t="str">
        <f aca="false">Tiers!B42</f>
        <v>Basics</v>
      </c>
      <c r="C42" s="8" t="n">
        <f aca="false">MAX(Inputs!$B$5,IF(Tiers!I42="",1,Tiers!I42))</f>
        <v>25</v>
      </c>
      <c r="D42" s="8" t="n">
        <f aca="false">IF(Tiers!J42="",1,IF(Inputs!$B$5&lt;=Tiers!J42,1,0))</f>
        <v>1</v>
      </c>
      <c r="E42" s="8" t="n">
        <f aca="false">IF(Tiers!L42="public",1,0)</f>
        <v>1</v>
      </c>
      <c r="F42" s="8" t="n">
        <f aca="false">IF(AND(IF(Inputs!$B$11="yes",Tiers!M42="yes",TRUE()),IF(Inputs!$B$12="yes",Tiers!N42="yes",TRUE()),IF(Inputs!$B$13="yes",Tiers!O42="yes",TRUE())),1,0)</f>
        <v>1</v>
      </c>
      <c r="G42" s="8" t="n">
        <f aca="false">IF(Tiers!K42="yes",0,D42*E42*F42)</f>
        <v>1</v>
      </c>
      <c r="H42" s="15" t="n">
        <f aca="false">IF(G42=0,"",IF(Tiers!D42="per_seat",  IF(Inputs!$B$8="annual",IF(Tiers!E42="","",Tiers!E42*C42),                            IF(Tiers!F42="","",Tiers!F42*C42)),IF(Tiers!D42="flat",  IF(Inputs!$B$8="annual",IF(Tiers!G42="","",Tiers!G42/12),                            IF(Tiers!H42="","",Tiers!H42)),"")))</f>
        <v>249.75</v>
      </c>
      <c r="I42" s="19" t="n">
        <f aca="false">IF(H42="","",H42*Inputs!$B$7)</f>
        <v>8991</v>
      </c>
      <c r="J42" s="8" t="str">
        <f aca="false">IF(Tiers!K42="yes","free tier, excluded from the paid comparison",IF(D42=0,"team is larger than this tier's seat cap",IF(E42=0,"no published price, contact sales",IF(F42=0,"does not meet a required capability",IF(H42="","not priced on the chosen billing cadence","")))))</f>
        <v/>
      </c>
    </row>
    <row r="43" customFormat="false" ht="15" hidden="false" customHeight="false" outlineLevel="0" collapsed="false">
      <c r="A43" s="20" t="str">
        <f aca="false">Tiers!A43</f>
        <v>Teamwork.com</v>
      </c>
      <c r="B43" s="20" t="str">
        <f aca="false">Tiers!B43</f>
        <v>Accelerate</v>
      </c>
      <c r="C43" s="16" t="n">
        <f aca="false">MAX(Inputs!$B$5,IF(Tiers!I43="",1,Tiers!I43))</f>
        <v>25</v>
      </c>
      <c r="D43" s="16" t="n">
        <f aca="false">IF(Tiers!J43="",1,IF(Inputs!$B$5&lt;=Tiers!J43,1,0))</f>
        <v>1</v>
      </c>
      <c r="E43" s="16" t="n">
        <f aca="false">IF(Tiers!L43="public",1,0)</f>
        <v>1</v>
      </c>
      <c r="F43" s="16" t="n">
        <f aca="false">IF(AND(IF(Inputs!$B$11="yes",Tiers!M43="yes",TRUE()),IF(Inputs!$B$12="yes",Tiers!N43="yes",TRUE()),IF(Inputs!$B$13="yes",Tiers!O43="yes",TRUE())),1,0)</f>
        <v>1</v>
      </c>
      <c r="G43" s="16" t="n">
        <f aca="false">IF(Tiers!K43="yes",0,D43*E43*F43)</f>
        <v>1</v>
      </c>
      <c r="H43" s="17" t="n">
        <f aca="false">IF(G43=0,"",IF(Tiers!D43="per_seat",  IF(Inputs!$B$8="annual",IF(Tiers!E43="","",Tiers!E43*C43),                            IF(Tiers!F43="","",Tiers!F43*C43)),IF(Tiers!D43="flat",  IF(Inputs!$B$8="annual",IF(Tiers!G43="","",Tiers!G43/12),                            IF(Tiers!H43="","",Tiers!H43)),"")))</f>
        <v>624.75</v>
      </c>
      <c r="I43" s="21" t="n">
        <f aca="false">IF(H43="","",H43*Inputs!$B$7)</f>
        <v>22491</v>
      </c>
      <c r="J43" s="16" t="str">
        <f aca="false">IF(Tiers!K43="yes","free tier, excluded from the paid comparison",IF(D43=0,"team is larger than this tier's seat cap",IF(E43=0,"no published price, contact sales",IF(F43=0,"does not meet a required capability",IF(H43="","not priced on the chosen billing cadence","")))))</f>
        <v/>
      </c>
    </row>
    <row r="44" customFormat="false" ht="15" hidden="false" customHeight="false" outlineLevel="0" collapsed="false">
      <c r="A44" s="18" t="str">
        <f aca="false">Tiers!A44</f>
        <v>Teamwork.com</v>
      </c>
      <c r="B44" s="18" t="str">
        <f aca="false">Tiers!B44</f>
        <v>Optimize</v>
      </c>
      <c r="C44" s="8" t="n">
        <f aca="false">MAX(Inputs!$B$5,IF(Tiers!I44="",1,Tiers!I44))</f>
        <v>25</v>
      </c>
      <c r="D44" s="8" t="n">
        <f aca="false">IF(Tiers!J44="",1,IF(Inputs!$B$5&lt;=Tiers!J44,1,0))</f>
        <v>1</v>
      </c>
      <c r="E44" s="8" t="n">
        <f aca="false">IF(Tiers!L44="public",1,0)</f>
        <v>0</v>
      </c>
      <c r="F44" s="8" t="n">
        <f aca="false">IF(AND(IF(Inputs!$B$11="yes",Tiers!M44="yes",TRUE()),IF(Inputs!$B$12="yes",Tiers!N44="yes",TRUE()),IF(Inputs!$B$13="yes",Tiers!O44="yes",TRUE())),1,0)</f>
        <v>1</v>
      </c>
      <c r="G44" s="8" t="n">
        <f aca="false">IF(Tiers!K44="yes",0,D44*E44*F44)</f>
        <v>0</v>
      </c>
      <c r="H44" s="15" t="str">
        <f aca="false">IF(G44=0,"",IF(Tiers!D44="per_seat",  IF(Inputs!$B$8="annual",IF(Tiers!E44="","",Tiers!E44*C44),                            IF(Tiers!F44="","",Tiers!F44*C44)),IF(Tiers!D44="flat",  IF(Inputs!$B$8="annual",IF(Tiers!G44="","",Tiers!G44/12),                            IF(Tiers!H44="","",Tiers!H44)),"")))</f>
        <v/>
      </c>
      <c r="I44" s="19" t="str">
        <f aca="false">IF(H44="","",H44*Inputs!$B$7)</f>
        <v/>
      </c>
      <c r="J44" s="8" t="str">
        <f aca="false">IF(Tiers!K44="yes","free tier, excluded from the paid comparison",IF(D44=0,"team is larger than this tier's seat cap",IF(E44=0,"no published price, contact sales",IF(F44=0,"does not meet a required capability",IF(H44="","not priced on the chosen billing cadence","")))))</f>
        <v>no published price, contact sales</v>
      </c>
    </row>
    <row r="45" customFormat="false" ht="15" hidden="false" customHeight="false" outlineLevel="0" collapsed="false">
      <c r="A45" s="20" t="str">
        <f aca="false">Tiers!A45</f>
        <v>Teamwork.com</v>
      </c>
      <c r="B45" s="20" t="str">
        <f aca="false">Tiers!B45</f>
        <v>Enterprise</v>
      </c>
      <c r="C45" s="16" t="n">
        <f aca="false">MAX(Inputs!$B$5,IF(Tiers!I45="",1,Tiers!I45))</f>
        <v>25</v>
      </c>
      <c r="D45" s="16" t="n">
        <f aca="false">IF(Tiers!J45="",1,IF(Inputs!$B$5&lt;=Tiers!J45,1,0))</f>
        <v>1</v>
      </c>
      <c r="E45" s="16" t="n">
        <f aca="false">IF(Tiers!L45="public",1,0)</f>
        <v>0</v>
      </c>
      <c r="F45" s="16" t="n">
        <f aca="false">IF(AND(IF(Inputs!$B$11="yes",Tiers!M45="yes",TRUE()),IF(Inputs!$B$12="yes",Tiers!N45="yes",TRUE()),IF(Inputs!$B$13="yes",Tiers!O45="yes",TRUE())),1,0)</f>
        <v>1</v>
      </c>
      <c r="G45" s="16" t="n">
        <f aca="false">IF(Tiers!K45="yes",0,D45*E45*F45)</f>
        <v>0</v>
      </c>
      <c r="H45" s="17" t="str">
        <f aca="false">IF(G45=0,"",IF(Tiers!D45="per_seat",  IF(Inputs!$B$8="annual",IF(Tiers!E45="","",Tiers!E45*C45),                            IF(Tiers!F45="","",Tiers!F45*C45)),IF(Tiers!D45="flat",  IF(Inputs!$B$8="annual",IF(Tiers!G45="","",Tiers!G45/12),                            IF(Tiers!H45="","",Tiers!H45)),"")))</f>
        <v/>
      </c>
      <c r="I45" s="21" t="str">
        <f aca="false">IF(H45="","",H45*Inputs!$B$7)</f>
        <v/>
      </c>
      <c r="J45" s="16" t="str">
        <f aca="false">IF(Tiers!K45="yes","free tier, excluded from the paid comparison",IF(D45=0,"team is larger than this tier's seat cap",IF(E45=0,"no published price, contact sales",IF(F45=0,"does not meet a required capability",IF(H45="","not priced on the chosen billing cadence","")))))</f>
        <v>no published price, contact sales</v>
      </c>
    </row>
    <row r="46" customFormat="false" ht="15" hidden="false" customHeight="false" outlineLevel="0" collapsed="false">
      <c r="A46" s="18" t="str">
        <f aca="false">Tiers!A46</f>
        <v>TeamGantt</v>
      </c>
      <c r="B46" s="18" t="str">
        <f aca="false">Tiers!B46</f>
        <v>Base</v>
      </c>
      <c r="C46" s="8" t="n">
        <f aca="false">MAX(Inputs!$B$5,IF(Tiers!I46="",1,Tiers!I46))</f>
        <v>25</v>
      </c>
      <c r="D46" s="8" t="n">
        <f aca="false">IF(Tiers!J46="",1,IF(Inputs!$B$5&lt;=Tiers!J46,1,0))</f>
        <v>0</v>
      </c>
      <c r="E46" s="8" t="n">
        <f aca="false">IF(Tiers!L46="public",1,0)</f>
        <v>1</v>
      </c>
      <c r="F46" s="8" t="n">
        <f aca="false">IF(AND(IF(Inputs!$B$11="yes",Tiers!M46="yes",TRUE()),IF(Inputs!$B$12="yes",Tiers!N46="yes",TRUE()),IF(Inputs!$B$13="yes",Tiers!O46="yes",TRUE())),1,0)</f>
        <v>1</v>
      </c>
      <c r="G46" s="8" t="n">
        <f aca="false">IF(Tiers!K46="yes",0,D46*E46*F46)</f>
        <v>0</v>
      </c>
      <c r="H46" s="15" t="str">
        <f aca="false">IF(G46=0,"",IF(Tiers!D46="per_seat",  IF(Inputs!$B$8="annual",IF(Tiers!E46="","",Tiers!E46*C46),                            IF(Tiers!F46="","",Tiers!F46*C46)),IF(Tiers!D46="flat",  IF(Inputs!$B$8="annual",IF(Tiers!G46="","",Tiers!G46/12),                            IF(Tiers!H46="","",Tiers!H46)),"")))</f>
        <v/>
      </c>
      <c r="I46" s="19" t="str">
        <f aca="false">IF(H46="","",H46*Inputs!$B$7)</f>
        <v/>
      </c>
      <c r="J46" s="8" t="str">
        <f aca="false">IF(Tiers!K46="yes","free tier, excluded from the paid comparison",IF(D46=0,"team is larger than this tier's seat cap",IF(E46=0,"no published price, contact sales",IF(F46=0,"does not meet a required capability",IF(H46="","not priced on the chosen billing cadence","")))))</f>
        <v>team is larger than this tier's seat cap</v>
      </c>
    </row>
    <row r="47" customFormat="false" ht="15" hidden="false" customHeight="false" outlineLevel="0" collapsed="false">
      <c r="A47" s="20" t="str">
        <f aca="false">Tiers!A47</f>
        <v>TeamGantt</v>
      </c>
      <c r="B47" s="20" t="str">
        <f aca="false">Tiers!B47</f>
        <v>Business</v>
      </c>
      <c r="C47" s="16" t="n">
        <f aca="false">MAX(Inputs!$B$5,IF(Tiers!I47="",1,Tiers!I47))</f>
        <v>25</v>
      </c>
      <c r="D47" s="16" t="n">
        <f aca="false">IF(Tiers!J47="",1,IF(Inputs!$B$5&lt;=Tiers!J47,1,0))</f>
        <v>1</v>
      </c>
      <c r="E47" s="16" t="n">
        <f aca="false">IF(Tiers!L47="public",1,0)</f>
        <v>1</v>
      </c>
      <c r="F47" s="16" t="n">
        <f aca="false">IF(AND(IF(Inputs!$B$11="yes",Tiers!M47="yes",TRUE()),IF(Inputs!$B$12="yes",Tiers!N47="yes",TRUE()),IF(Inputs!$B$13="yes",Tiers!O47="yes",TRUE())),1,0)</f>
        <v>1</v>
      </c>
      <c r="G47" s="16" t="n">
        <f aca="false">IF(Tiers!K47="yes",0,D47*E47*F47)</f>
        <v>1</v>
      </c>
      <c r="H47" s="17" t="str">
        <f aca="false">IF(G47=0,"",IF(Tiers!D47="per_seat",  IF(Inputs!$B$8="annual",IF(Tiers!E47="","",Tiers!E47*C47),                            IF(Tiers!F47="","",Tiers!F47*C47)),IF(Tiers!D47="flat",  IF(Inputs!$B$8="annual",IF(Tiers!G47="","",Tiers!G47/12),                            IF(Tiers!H47="","",Tiers!H47)),"")))</f>
        <v/>
      </c>
      <c r="I47" s="21" t="str">
        <f aca="false">IF(H47="","",H47*Inputs!$B$7)</f>
        <v/>
      </c>
      <c r="J47" s="16" t="str">
        <f aca="false">IF(Tiers!K47="yes","free tier, excluded from the paid comparison",IF(D47=0,"team is larger than this tier's seat cap",IF(E47=0,"no published price, contact sales",IF(F47=0,"does not meet a required capability",IF(H47="","not priced on the chosen billing cadence","")))))</f>
        <v>not priced on the chosen billing cadence</v>
      </c>
    </row>
    <row r="48" customFormat="false" ht="15" hidden="false" customHeight="false" outlineLevel="0" collapsed="false">
      <c r="A48" s="18" t="str">
        <f aca="false">Tiers!A48</f>
        <v>TeamGantt</v>
      </c>
      <c r="B48" s="18" t="str">
        <f aca="false">Tiers!B48</f>
        <v>Builder Edition</v>
      </c>
      <c r="C48" s="8" t="n">
        <f aca="false">MAX(Inputs!$B$5,IF(Tiers!I48="",1,Tiers!I48))</f>
        <v>25</v>
      </c>
      <c r="D48" s="8" t="n">
        <f aca="false">IF(Tiers!J48="",1,IF(Inputs!$B$5&lt;=Tiers!J48,1,0))</f>
        <v>1</v>
      </c>
      <c r="E48" s="8" t="n">
        <f aca="false">IF(Tiers!L48="public",1,0)</f>
        <v>1</v>
      </c>
      <c r="F48" s="8" t="n">
        <f aca="false">IF(AND(IF(Inputs!$B$11="yes",Tiers!M48="yes",TRUE()),IF(Inputs!$B$12="yes",Tiers!N48="yes",TRUE()),IF(Inputs!$B$13="yes",Tiers!O48="yes",TRUE())),1,0)</f>
        <v>1</v>
      </c>
      <c r="G48" s="8" t="n">
        <f aca="false">IF(Tiers!K48="yes",0,D48*E48*F48)</f>
        <v>1</v>
      </c>
      <c r="H48" s="15" t="str">
        <f aca="false">IF(G48=0,"",IF(Tiers!D48="per_seat",  IF(Inputs!$B$8="annual",IF(Tiers!E48="","",Tiers!E48*C48),                            IF(Tiers!F48="","",Tiers!F48*C48)),IF(Tiers!D48="flat",  IF(Inputs!$B$8="annual",IF(Tiers!G48="","",Tiers!G48/12),                            IF(Tiers!H48="","",Tiers!H48)),"")))</f>
        <v/>
      </c>
      <c r="I48" s="19" t="str">
        <f aca="false">IF(H48="","",H48*Inputs!$B$7)</f>
        <v/>
      </c>
      <c r="J48" s="8" t="str">
        <f aca="false">IF(Tiers!K48="yes","free tier, excluded from the paid comparison",IF(D48=0,"team is larger than this tier's seat cap",IF(E48=0,"no published price, contact sales",IF(F48=0,"does not meet a required capability",IF(H48="","not priced on the chosen billing cadence","")))))</f>
        <v>not priced on the chosen billing cadence</v>
      </c>
    </row>
    <row r="49" customFormat="false" ht="15" hidden="false" customHeight="false" outlineLevel="0" collapsed="false">
      <c r="A49" s="20" t="str">
        <f aca="false">Tiers!A49</f>
        <v>Hive</v>
      </c>
      <c r="B49" s="20" t="str">
        <f aca="false">Tiers!B49</f>
        <v>Free</v>
      </c>
      <c r="C49" s="16" t="n">
        <f aca="false">MAX(Inputs!$B$5,IF(Tiers!I49="",1,Tiers!I49))</f>
        <v>25</v>
      </c>
      <c r="D49" s="16" t="n">
        <f aca="false">IF(Tiers!J49="",1,IF(Inputs!$B$5&lt;=Tiers!J49,1,0))</f>
        <v>0</v>
      </c>
      <c r="E49" s="16" t="n">
        <f aca="false">IF(Tiers!L49="public",1,0)</f>
        <v>1</v>
      </c>
      <c r="F49" s="16" t="n">
        <f aca="false">IF(AND(IF(Inputs!$B$11="yes",Tiers!M49="yes",TRUE()),IF(Inputs!$B$12="yes",Tiers!N49="yes",TRUE()),IF(Inputs!$B$13="yes",Tiers!O49="yes",TRUE())),1,0)</f>
        <v>1</v>
      </c>
      <c r="G49" s="16" t="n">
        <f aca="false">IF(Tiers!K49="yes",0,D49*E49*F49)</f>
        <v>0</v>
      </c>
      <c r="H49" s="17" t="str">
        <f aca="false">IF(G49=0,"",IF(Tiers!D49="per_seat",  IF(Inputs!$B$8="annual",IF(Tiers!E49="","",Tiers!E49*C49),                            IF(Tiers!F49="","",Tiers!F49*C49)),IF(Tiers!D49="flat",  IF(Inputs!$B$8="annual",IF(Tiers!G49="","",Tiers!G49/12),                            IF(Tiers!H49="","",Tiers!H49)),"")))</f>
        <v/>
      </c>
      <c r="I49" s="21" t="str">
        <f aca="false">IF(H49="","",H49*Inputs!$B$7)</f>
        <v/>
      </c>
      <c r="J49" s="16" t="str">
        <f aca="false">IF(Tiers!K49="yes","free tier, excluded from the paid comparison",IF(D49=0,"team is larger than this tier's seat cap",IF(E49=0,"no published price, contact sales",IF(F49=0,"does not meet a required capability",IF(H49="","not priced on the chosen billing cadence","")))))</f>
        <v>free tier, excluded from the paid comparison</v>
      </c>
    </row>
    <row r="50" customFormat="false" ht="15" hidden="false" customHeight="false" outlineLevel="0" collapsed="false">
      <c r="A50" s="18" t="str">
        <f aca="false">Tiers!A50</f>
        <v>Hive</v>
      </c>
      <c r="B50" s="18" t="str">
        <f aca="false">Tiers!B50</f>
        <v>Starter</v>
      </c>
      <c r="C50" s="8" t="n">
        <f aca="false">MAX(Inputs!$B$5,IF(Tiers!I50="",1,Tiers!I50))</f>
        <v>25</v>
      </c>
      <c r="D50" s="8" t="n">
        <f aca="false">IF(Tiers!J50="",1,IF(Inputs!$B$5&lt;=Tiers!J50,1,0))</f>
        <v>0</v>
      </c>
      <c r="E50" s="8" t="n">
        <f aca="false">IF(Tiers!L50="public",1,0)</f>
        <v>1</v>
      </c>
      <c r="F50" s="8" t="n">
        <f aca="false">IF(AND(IF(Inputs!$B$11="yes",Tiers!M50="yes",TRUE()),IF(Inputs!$B$12="yes",Tiers!N50="yes",TRUE()),IF(Inputs!$B$13="yes",Tiers!O50="yes",TRUE())),1,0)</f>
        <v>1</v>
      </c>
      <c r="G50" s="8" t="n">
        <f aca="false">IF(Tiers!K50="yes",0,D50*E50*F50)</f>
        <v>0</v>
      </c>
      <c r="H50" s="15" t="str">
        <f aca="false">IF(G50=0,"",IF(Tiers!D50="per_seat",  IF(Inputs!$B$8="annual",IF(Tiers!E50="","",Tiers!E50*C50),                            IF(Tiers!F50="","",Tiers!F50*C50)),IF(Tiers!D50="flat",  IF(Inputs!$B$8="annual",IF(Tiers!G50="","",Tiers!G50/12),                            IF(Tiers!H50="","",Tiers!H50)),"")))</f>
        <v/>
      </c>
      <c r="I50" s="19" t="str">
        <f aca="false">IF(H50="","",H50*Inputs!$B$7)</f>
        <v/>
      </c>
      <c r="J50" s="8" t="str">
        <f aca="false">IF(Tiers!K50="yes","free tier, excluded from the paid comparison",IF(D50=0,"team is larger than this tier's seat cap",IF(E50=0,"no published price, contact sales",IF(F50=0,"does not meet a required capability",IF(H50="","not priced on the chosen billing cadence","")))))</f>
        <v>team is larger than this tier's seat cap</v>
      </c>
    </row>
    <row r="51" customFormat="false" ht="15" hidden="false" customHeight="false" outlineLevel="0" collapsed="false">
      <c r="A51" s="20" t="str">
        <f aca="false">Tiers!A51</f>
        <v>Hive</v>
      </c>
      <c r="B51" s="20" t="str">
        <f aca="false">Tiers!B51</f>
        <v>Teams</v>
      </c>
      <c r="C51" s="16" t="n">
        <f aca="false">MAX(Inputs!$B$5,IF(Tiers!I51="",1,Tiers!I51))</f>
        <v>25</v>
      </c>
      <c r="D51" s="16" t="n">
        <f aca="false">IF(Tiers!J51="",1,IF(Inputs!$B$5&lt;=Tiers!J51,1,0))</f>
        <v>1</v>
      </c>
      <c r="E51" s="16" t="n">
        <f aca="false">IF(Tiers!L51="public",1,0)</f>
        <v>1</v>
      </c>
      <c r="F51" s="16" t="n">
        <f aca="false">IF(AND(IF(Inputs!$B$11="yes",Tiers!M51="yes",TRUE()),IF(Inputs!$B$12="yes",Tiers!N51="yes",TRUE()),IF(Inputs!$B$13="yes",Tiers!O51="yes",TRUE())),1,0)</f>
        <v>1</v>
      </c>
      <c r="G51" s="16" t="n">
        <f aca="false">IF(Tiers!K51="yes",0,D51*E51*F51)</f>
        <v>1</v>
      </c>
      <c r="H51" s="17" t="n">
        <f aca="false">IF(G51=0,"",IF(Tiers!D51="per_seat",  IF(Inputs!$B$8="annual",IF(Tiers!E51="","",Tiers!E51*C51),                            IF(Tiers!F51="","",Tiers!F51*C51)),IF(Tiers!D51="flat",  IF(Inputs!$B$8="annual",IF(Tiers!G51="","",Tiers!G51/12),                            IF(Tiers!H51="","",Tiers!H51)),"")))</f>
        <v>300</v>
      </c>
      <c r="I51" s="21" t="n">
        <f aca="false">IF(H51="","",H51*Inputs!$B$7)</f>
        <v>10800</v>
      </c>
      <c r="J51" s="16" t="str">
        <f aca="false">IF(Tiers!K51="yes","free tier, excluded from the paid comparison",IF(D51=0,"team is larger than this tier's seat cap",IF(E51=0,"no published price, contact sales",IF(F51=0,"does not meet a required capability",IF(H51="","not priced on the chosen billing cadence","")))))</f>
        <v/>
      </c>
    </row>
    <row r="52" customFormat="false" ht="15" hidden="false" customHeight="false" outlineLevel="0" collapsed="false">
      <c r="A52" s="18" t="str">
        <f aca="false">Tiers!A52</f>
        <v>Hive</v>
      </c>
      <c r="B52" s="18" t="str">
        <f aca="false">Tiers!B52</f>
        <v>Enterprise</v>
      </c>
      <c r="C52" s="8" t="n">
        <f aca="false">MAX(Inputs!$B$5,IF(Tiers!I52="",1,Tiers!I52))</f>
        <v>25</v>
      </c>
      <c r="D52" s="8" t="n">
        <f aca="false">IF(Tiers!J52="",1,IF(Inputs!$B$5&lt;=Tiers!J52,1,0))</f>
        <v>1</v>
      </c>
      <c r="E52" s="8" t="n">
        <f aca="false">IF(Tiers!L52="public",1,0)</f>
        <v>0</v>
      </c>
      <c r="F52" s="8" t="n">
        <f aca="false">IF(AND(IF(Inputs!$B$11="yes",Tiers!M52="yes",TRUE()),IF(Inputs!$B$12="yes",Tiers!N52="yes",TRUE()),IF(Inputs!$B$13="yes",Tiers!O52="yes",TRUE())),1,0)</f>
        <v>1</v>
      </c>
      <c r="G52" s="8" t="n">
        <f aca="false">IF(Tiers!K52="yes",0,D52*E52*F52)</f>
        <v>0</v>
      </c>
      <c r="H52" s="15" t="str">
        <f aca="false">IF(G52=0,"",IF(Tiers!D52="per_seat",  IF(Inputs!$B$8="annual",IF(Tiers!E52="","",Tiers!E52*C52),                            IF(Tiers!F52="","",Tiers!F52*C52)),IF(Tiers!D52="flat",  IF(Inputs!$B$8="annual",IF(Tiers!G52="","",Tiers!G52/12),                            IF(Tiers!H52="","",Tiers!H52)),"")))</f>
        <v/>
      </c>
      <c r="I52" s="19" t="str">
        <f aca="false">IF(H52="","",H52*Inputs!$B$7)</f>
        <v/>
      </c>
      <c r="J52" s="8" t="str">
        <f aca="false">IF(Tiers!K52="yes","free tier, excluded from the paid comparison",IF(D52=0,"team is larger than this tier's seat cap",IF(E52=0,"no published price, contact sales",IF(F52=0,"does not meet a required capability",IF(H52="","not priced on the chosen billing cadence","")))))</f>
        <v>no published price, contact sales</v>
      </c>
    </row>
    <row r="53" customFormat="false" ht="15" hidden="false" customHeight="false" outlineLevel="0" collapsed="false">
      <c r="A53" s="20" t="str">
        <f aca="false">Tiers!A53</f>
        <v>Zoho Projects</v>
      </c>
      <c r="B53" s="20" t="str">
        <f aca="false">Tiers!B53</f>
        <v>Free</v>
      </c>
      <c r="C53" s="16" t="n">
        <f aca="false">MAX(Inputs!$B$5,IF(Tiers!I53="",1,Tiers!I53))</f>
        <v>25</v>
      </c>
      <c r="D53" s="16" t="n">
        <f aca="false">IF(Tiers!J53="",1,IF(Inputs!$B$5&lt;=Tiers!J53,1,0))</f>
        <v>0</v>
      </c>
      <c r="E53" s="16" t="n">
        <f aca="false">IF(Tiers!L53="public",1,0)</f>
        <v>1</v>
      </c>
      <c r="F53" s="16" t="n">
        <f aca="false">IF(AND(IF(Inputs!$B$11="yes",Tiers!M53="yes",TRUE()),IF(Inputs!$B$12="yes",Tiers!N53="yes",TRUE()),IF(Inputs!$B$13="yes",Tiers!O53="yes",TRUE())),1,0)</f>
        <v>1</v>
      </c>
      <c r="G53" s="16" t="n">
        <f aca="false">IF(Tiers!K53="yes",0,D53*E53*F53)</f>
        <v>0</v>
      </c>
      <c r="H53" s="17" t="str">
        <f aca="false">IF(G53=0,"",IF(Tiers!D53="per_seat",  IF(Inputs!$B$8="annual",IF(Tiers!E53="","",Tiers!E53*C53),                            IF(Tiers!F53="","",Tiers!F53*C53)),IF(Tiers!D53="flat",  IF(Inputs!$B$8="annual",IF(Tiers!G53="","",Tiers!G53/12),                            IF(Tiers!H53="","",Tiers!H53)),"")))</f>
        <v/>
      </c>
      <c r="I53" s="21" t="str">
        <f aca="false">IF(H53="","",H53*Inputs!$B$7)</f>
        <v/>
      </c>
      <c r="J53" s="16" t="str">
        <f aca="false">IF(Tiers!K53="yes","free tier, excluded from the paid comparison",IF(D53=0,"team is larger than this tier's seat cap",IF(E53=0,"no published price, contact sales",IF(F53=0,"does not meet a required capability",IF(H53="","not priced on the chosen billing cadence","")))))</f>
        <v>free tier, excluded from the paid comparison</v>
      </c>
    </row>
    <row r="54" customFormat="false" ht="15" hidden="false" customHeight="false" outlineLevel="0" collapsed="false">
      <c r="A54" s="18" t="str">
        <f aca="false">Tiers!A54</f>
        <v>Zoho Projects</v>
      </c>
      <c r="B54" s="18" t="str">
        <f aca="false">Tiers!B54</f>
        <v>Premium</v>
      </c>
      <c r="C54" s="8" t="n">
        <f aca="false">MAX(Inputs!$B$5,IF(Tiers!I54="",1,Tiers!I54))</f>
        <v>25</v>
      </c>
      <c r="D54" s="8" t="n">
        <f aca="false">IF(Tiers!J54="",1,IF(Inputs!$B$5&lt;=Tiers!J54,1,0))</f>
        <v>1</v>
      </c>
      <c r="E54" s="8" t="n">
        <f aca="false">IF(Tiers!L54="public",1,0)</f>
        <v>1</v>
      </c>
      <c r="F54" s="8" t="n">
        <f aca="false">IF(AND(IF(Inputs!$B$11="yes",Tiers!M54="yes",TRUE()),IF(Inputs!$B$12="yes",Tiers!N54="yes",TRUE()),IF(Inputs!$B$13="yes",Tiers!O54="yes",TRUE())),1,0)</f>
        <v>1</v>
      </c>
      <c r="G54" s="8" t="n">
        <f aca="false">IF(Tiers!K54="yes",0,D54*E54*F54)</f>
        <v>1</v>
      </c>
      <c r="H54" s="15" t="n">
        <f aca="false">IF(G54=0,"",IF(Tiers!D54="per_seat",  IF(Inputs!$B$8="annual",IF(Tiers!E54="","",Tiers!E54*C54),                            IF(Tiers!F54="","",Tiers!F54*C54)),IF(Tiers!D54="flat",  IF(Inputs!$B$8="annual",IF(Tiers!G54="","",Tiers!G54/12),                            IF(Tiers!H54="","",Tiers!H54)),"")))</f>
        <v>100</v>
      </c>
      <c r="I54" s="19" t="n">
        <f aca="false">IF(H54="","",H54*Inputs!$B$7)</f>
        <v>3600</v>
      </c>
      <c r="J54" s="8" t="str">
        <f aca="false">IF(Tiers!K54="yes","free tier, excluded from the paid comparison",IF(D54=0,"team is larger than this tier's seat cap",IF(E54=0,"no published price, contact sales",IF(F54=0,"does not meet a required capability",IF(H54="","not priced on the chosen billing cadence","")))))</f>
        <v/>
      </c>
    </row>
    <row r="55" customFormat="false" ht="15" hidden="false" customHeight="false" outlineLevel="0" collapsed="false">
      <c r="A55" s="20" t="str">
        <f aca="false">Tiers!A55</f>
        <v>Zoho Projects</v>
      </c>
      <c r="B55" s="20" t="str">
        <f aca="false">Tiers!B55</f>
        <v>Enterprise</v>
      </c>
      <c r="C55" s="16" t="n">
        <f aca="false">MAX(Inputs!$B$5,IF(Tiers!I55="",1,Tiers!I55))</f>
        <v>25</v>
      </c>
      <c r="D55" s="16" t="n">
        <f aca="false">IF(Tiers!J55="",1,IF(Inputs!$B$5&lt;=Tiers!J55,1,0))</f>
        <v>1</v>
      </c>
      <c r="E55" s="16" t="n">
        <f aca="false">IF(Tiers!L55="public",1,0)</f>
        <v>1</v>
      </c>
      <c r="F55" s="16" t="n">
        <f aca="false">IF(AND(IF(Inputs!$B$11="yes",Tiers!M55="yes",TRUE()),IF(Inputs!$B$12="yes",Tiers!N55="yes",TRUE()),IF(Inputs!$B$13="yes",Tiers!O55="yes",TRUE())),1,0)</f>
        <v>1</v>
      </c>
      <c r="G55" s="16" t="n">
        <f aca="false">IF(Tiers!K55="yes",0,D55*E55*F55)</f>
        <v>1</v>
      </c>
      <c r="H55" s="17" t="n">
        <f aca="false">IF(G55=0,"",IF(Tiers!D55="per_seat",  IF(Inputs!$B$8="annual",IF(Tiers!E55="","",Tiers!E55*C55),                            IF(Tiers!F55="","",Tiers!F55*C55)),IF(Tiers!D55="flat",  IF(Inputs!$B$8="annual",IF(Tiers!G55="","",Tiers!G55/12),                            IF(Tiers!H55="","",Tiers!H55)),"")))</f>
        <v>225</v>
      </c>
      <c r="I55" s="21" t="n">
        <f aca="false">IF(H55="","",H55*Inputs!$B$7)</f>
        <v>8100</v>
      </c>
      <c r="J55" s="16" t="str">
        <f aca="false">IF(Tiers!K55="yes","free tier, excluded from the paid comparison",IF(D55=0,"team is larger than this tier's seat cap",IF(E55=0,"no published price, contact sales",IF(F55=0,"does not meet a required capability",IF(H55="","not priced on the chosen billing cadence","")))))</f>
        <v/>
      </c>
    </row>
    <row r="56" customFormat="false" ht="15" hidden="false" customHeight="false" outlineLevel="0" collapsed="false">
      <c r="A56" s="18" t="str">
        <f aca="false">Tiers!A56</f>
        <v>Zoho Projects</v>
      </c>
      <c r="B56" s="18" t="str">
        <f aca="false">Tiers!B56</f>
        <v>Ultimate</v>
      </c>
      <c r="C56" s="8" t="n">
        <f aca="false">MAX(Inputs!$B$5,IF(Tiers!I56="",1,Tiers!I56))</f>
        <v>25</v>
      </c>
      <c r="D56" s="8" t="n">
        <f aca="false">IF(Tiers!J56="",1,IF(Inputs!$B$5&lt;=Tiers!J56,1,0))</f>
        <v>1</v>
      </c>
      <c r="E56" s="8" t="n">
        <f aca="false">IF(Tiers!L56="public",1,0)</f>
        <v>1</v>
      </c>
      <c r="F56" s="8" t="n">
        <f aca="false">IF(AND(IF(Inputs!$B$11="yes",Tiers!M56="yes",TRUE()),IF(Inputs!$B$12="yes",Tiers!N56="yes",TRUE()),IF(Inputs!$B$13="yes",Tiers!O56="yes",TRUE())),1,0)</f>
        <v>1</v>
      </c>
      <c r="G56" s="8" t="n">
        <f aca="false">IF(Tiers!K56="yes",0,D56*E56*F56)</f>
        <v>1</v>
      </c>
      <c r="H56" s="15" t="n">
        <f aca="false">IF(G56=0,"",IF(Tiers!D56="per_seat",  IF(Inputs!$B$8="annual",IF(Tiers!E56="","",Tiers!E56*C56),                            IF(Tiers!F56="","",Tiers!F56*C56)),IF(Tiers!D56="flat",  IF(Inputs!$B$8="annual",IF(Tiers!G56="","",Tiers!G56/12),                            IF(Tiers!H56="","",Tiers!H56)),"")))</f>
        <v>350</v>
      </c>
      <c r="I56" s="19" t="n">
        <f aca="false">IF(H56="","",H56*Inputs!$B$7)</f>
        <v>12600</v>
      </c>
      <c r="J56" s="8" t="str">
        <f aca="false">IF(Tiers!K56="yes","free tier, excluded from the paid comparison",IF(D56=0,"team is larger than this tier's seat cap",IF(E56=0,"no published price, contact sales",IF(F56=0,"does not meet a required capability",IF(H56="","not priced on the chosen billing cadence","")))))</f>
        <v/>
      </c>
    </row>
    <row r="57" customFormat="false" ht="15" hidden="false" customHeight="false" outlineLevel="0" collapsed="false">
      <c r="A57" s="20" t="str">
        <f aca="false">Tiers!A57</f>
        <v>GanttPRO</v>
      </c>
      <c r="B57" s="20" t="str">
        <f aca="false">Tiers!B57</f>
        <v>Core</v>
      </c>
      <c r="C57" s="16" t="n">
        <f aca="false">MAX(Inputs!$B$5,IF(Tiers!I57="",1,Tiers!I57))</f>
        <v>25</v>
      </c>
      <c r="D57" s="16" t="n">
        <f aca="false">IF(Tiers!J57="",1,IF(Inputs!$B$5&lt;=Tiers!J57,1,0))</f>
        <v>1</v>
      </c>
      <c r="E57" s="16" t="n">
        <f aca="false">IF(Tiers!L57="public",1,0)</f>
        <v>1</v>
      </c>
      <c r="F57" s="16" t="n">
        <f aca="false">IF(AND(IF(Inputs!$B$11="yes",Tiers!M57="yes",TRUE()),IF(Inputs!$B$12="yes",Tiers!N57="yes",TRUE()),IF(Inputs!$B$13="yes",Tiers!O57="yes",TRUE())),1,0)</f>
        <v>1</v>
      </c>
      <c r="G57" s="16" t="n">
        <f aca="false">IF(Tiers!K57="yes",0,D57*E57*F57)</f>
        <v>1</v>
      </c>
      <c r="H57" s="17" t="n">
        <f aca="false">IF(G57=0,"",IF(Tiers!D57="per_seat",  IF(Inputs!$B$8="annual",IF(Tiers!E57="","",Tiers!E57*C57),                            IF(Tiers!F57="","",Tiers!F57*C57)),IF(Tiers!D57="flat",  IF(Inputs!$B$8="annual",IF(Tiers!G57="","",Tiers!G57/12),                            IF(Tiers!H57="","",Tiers!H57)),"")))</f>
        <v>175</v>
      </c>
      <c r="I57" s="21" t="n">
        <f aca="false">IF(H57="","",H57*Inputs!$B$7)</f>
        <v>6300</v>
      </c>
      <c r="J57" s="16" t="str">
        <f aca="false">IF(Tiers!K57="yes","free tier, excluded from the paid comparison",IF(D57=0,"team is larger than this tier's seat cap",IF(E57=0,"no published price, contact sales",IF(F57=0,"does not meet a required capability",IF(H57="","not priced on the chosen billing cadence","")))))</f>
        <v/>
      </c>
    </row>
    <row r="58" customFormat="false" ht="15" hidden="false" customHeight="false" outlineLevel="0" collapsed="false">
      <c r="A58" s="18" t="str">
        <f aca="false">Tiers!A58</f>
        <v>GanttPRO</v>
      </c>
      <c r="B58" s="18" t="str">
        <f aca="false">Tiers!B58</f>
        <v>Advanced</v>
      </c>
      <c r="C58" s="8" t="n">
        <f aca="false">MAX(Inputs!$B$5,IF(Tiers!I58="",1,Tiers!I58))</f>
        <v>25</v>
      </c>
      <c r="D58" s="8" t="n">
        <f aca="false">IF(Tiers!J58="",1,IF(Inputs!$B$5&lt;=Tiers!J58,1,0))</f>
        <v>1</v>
      </c>
      <c r="E58" s="8" t="n">
        <f aca="false">IF(Tiers!L58="public",1,0)</f>
        <v>1</v>
      </c>
      <c r="F58" s="8" t="n">
        <f aca="false">IF(AND(IF(Inputs!$B$11="yes",Tiers!M58="yes",TRUE()),IF(Inputs!$B$12="yes",Tiers!N58="yes",TRUE()),IF(Inputs!$B$13="yes",Tiers!O58="yes",TRUE())),1,0)</f>
        <v>1</v>
      </c>
      <c r="G58" s="8" t="n">
        <f aca="false">IF(Tiers!K58="yes",0,D58*E58*F58)</f>
        <v>1</v>
      </c>
      <c r="H58" s="15" t="n">
        <f aca="false">IF(G58=0,"",IF(Tiers!D58="per_seat",  IF(Inputs!$B$8="annual",IF(Tiers!E58="","",Tiers!E58*C58),                            IF(Tiers!F58="","",Tiers!F58*C58)),IF(Tiers!D58="flat",  IF(Inputs!$B$8="annual",IF(Tiers!G58="","",Tiers!G58/12),                            IF(Tiers!H58="","",Tiers!H58)),"")))</f>
        <v>250</v>
      </c>
      <c r="I58" s="19" t="n">
        <f aca="false">IF(H58="","",H58*Inputs!$B$7)</f>
        <v>9000</v>
      </c>
      <c r="J58" s="8" t="str">
        <f aca="false">IF(Tiers!K58="yes","free tier, excluded from the paid comparison",IF(D58=0,"team is larger than this tier's seat cap",IF(E58=0,"no published price, contact sales",IF(F58=0,"does not meet a required capability",IF(H58="","not priced on the chosen billing cadence","")))))</f>
        <v/>
      </c>
    </row>
    <row r="59" customFormat="false" ht="15" hidden="false" customHeight="false" outlineLevel="0" collapsed="false">
      <c r="A59" s="20" t="str">
        <f aca="false">Tiers!A59</f>
        <v>GanttPRO</v>
      </c>
      <c r="B59" s="20" t="str">
        <f aca="false">Tiers!B59</f>
        <v>Business</v>
      </c>
      <c r="C59" s="16" t="n">
        <f aca="false">MAX(Inputs!$B$5,IF(Tiers!I59="",1,Tiers!I59))</f>
        <v>25</v>
      </c>
      <c r="D59" s="16" t="n">
        <f aca="false">IF(Tiers!J59="",1,IF(Inputs!$B$5&lt;=Tiers!J59,1,0))</f>
        <v>1</v>
      </c>
      <c r="E59" s="16" t="n">
        <f aca="false">IF(Tiers!L59="public",1,0)</f>
        <v>1</v>
      </c>
      <c r="F59" s="16" t="n">
        <f aca="false">IF(AND(IF(Inputs!$B$11="yes",Tiers!M59="yes",TRUE()),IF(Inputs!$B$12="yes",Tiers!N59="yes",TRUE()),IF(Inputs!$B$13="yes",Tiers!O59="yes",TRUE())),1,0)</f>
        <v>1</v>
      </c>
      <c r="G59" s="16" t="n">
        <f aca="false">IF(Tiers!K59="yes",0,D59*E59*F59)</f>
        <v>1</v>
      </c>
      <c r="H59" s="17" t="n">
        <f aca="false">IF(G59=0,"",IF(Tiers!D59="per_seat",  IF(Inputs!$B$8="annual",IF(Tiers!E59="","",Tiers!E59*C59),                            IF(Tiers!F59="","",Tiers!F59*C59)),IF(Tiers!D59="flat",  IF(Inputs!$B$8="annual",IF(Tiers!G59="","",Tiers!G59/12),                            IF(Tiers!H59="","",Tiers!H59)),"")))</f>
        <v>425</v>
      </c>
      <c r="I59" s="21" t="n">
        <f aca="false">IF(H59="","",H59*Inputs!$B$7)</f>
        <v>15300</v>
      </c>
      <c r="J59" s="16" t="str">
        <f aca="false">IF(Tiers!K59="yes","free tier, excluded from the paid comparison",IF(D59=0,"team is larger than this tier's seat cap",IF(E59=0,"no published price, contact sales",IF(F59=0,"does not meet a required capability",IF(H59="","not priced on the chosen billing cadence","")))))</f>
        <v/>
      </c>
    </row>
    <row r="60" customFormat="false" ht="15" hidden="false" customHeight="false" outlineLevel="0" collapsed="false">
      <c r="A60" s="18" t="str">
        <f aca="false">Tiers!A60</f>
        <v>GanttPRO</v>
      </c>
      <c r="B60" s="18" t="str">
        <f aca="false">Tiers!B60</f>
        <v>Enterprise</v>
      </c>
      <c r="C60" s="8" t="n">
        <f aca="false">MAX(Inputs!$B$5,IF(Tiers!I60="",1,Tiers!I60))</f>
        <v>25</v>
      </c>
      <c r="D60" s="8" t="n">
        <f aca="false">IF(Tiers!J60="",1,IF(Inputs!$B$5&lt;=Tiers!J60,1,0))</f>
        <v>1</v>
      </c>
      <c r="E60" s="8" t="n">
        <f aca="false">IF(Tiers!L60="public",1,0)</f>
        <v>1</v>
      </c>
      <c r="F60" s="8" t="n">
        <f aca="false">IF(AND(IF(Inputs!$B$11="yes",Tiers!M60="yes",TRUE()),IF(Inputs!$B$12="yes",Tiers!N60="yes",TRUE()),IF(Inputs!$B$13="yes",Tiers!O60="yes",TRUE())),1,0)</f>
        <v>1</v>
      </c>
      <c r="G60" s="8" t="n">
        <f aca="false">IF(Tiers!K60="yes",0,D60*E60*F60)</f>
        <v>1</v>
      </c>
      <c r="H60" s="15" t="n">
        <f aca="false">IF(G60=0,"",IF(Tiers!D60="per_seat",  IF(Inputs!$B$8="annual",IF(Tiers!E60="","",Tiers!E60*C60),                            IF(Tiers!F60="","",Tiers!F60*C60)),IF(Tiers!D60="flat",  IF(Inputs!$B$8="annual",IF(Tiers!G60="","",Tiers!G60/12),                            IF(Tiers!H60="","",Tiers!H60)),"")))</f>
        <v>500</v>
      </c>
      <c r="I60" s="19" t="n">
        <f aca="false">IF(H60="","",H60*Inputs!$B$7)</f>
        <v>18000</v>
      </c>
      <c r="J60" s="8" t="str">
        <f aca="false">IF(Tiers!K60="yes","free tier, excluded from the paid comparison",IF(D60=0,"team is larger than this tier's seat cap",IF(E60=0,"no published price, contact sales",IF(F60=0,"does not meet a required capability",IF(H60="","not priced on the chosen billing cadence","")))))</f>
        <v/>
      </c>
    </row>
    <row r="61" customFormat="false" ht="15" hidden="false" customHeight="false" outlineLevel="0" collapsed="false">
      <c r="A61" s="20" t="str">
        <f aca="false">Tiers!A61</f>
        <v>Runrun.it</v>
      </c>
      <c r="B61" s="20" t="str">
        <f aca="false">Tiers!B61</f>
        <v>Free</v>
      </c>
      <c r="C61" s="16" t="n">
        <f aca="false">MAX(Inputs!$B$5,IF(Tiers!I61="",1,Tiers!I61))</f>
        <v>25</v>
      </c>
      <c r="D61" s="16" t="n">
        <f aca="false">IF(Tiers!J61="",1,IF(Inputs!$B$5&lt;=Tiers!J61,1,0))</f>
        <v>0</v>
      </c>
      <c r="E61" s="16" t="n">
        <f aca="false">IF(Tiers!L61="public",1,0)</f>
        <v>1</v>
      </c>
      <c r="F61" s="16" t="n">
        <f aca="false">IF(AND(IF(Inputs!$B$11="yes",Tiers!M61="yes",TRUE()),IF(Inputs!$B$12="yes",Tiers!N61="yes",TRUE()),IF(Inputs!$B$13="yes",Tiers!O61="yes",TRUE())),1,0)</f>
        <v>1</v>
      </c>
      <c r="G61" s="16" t="n">
        <f aca="false">IF(Tiers!K61="yes",0,D61*E61*F61)</f>
        <v>0</v>
      </c>
      <c r="H61" s="17" t="str">
        <f aca="false">IF(G61=0,"",IF(Tiers!D61="per_seat",  IF(Inputs!$B$8="annual",IF(Tiers!E61="","",Tiers!E61*C61),                            IF(Tiers!F61="","",Tiers!F61*C61)),IF(Tiers!D61="flat",  IF(Inputs!$B$8="annual",IF(Tiers!G61="","",Tiers!G61/12),                            IF(Tiers!H61="","",Tiers!H61)),"")))</f>
        <v/>
      </c>
      <c r="I61" s="21" t="str">
        <f aca="false">IF(H61="","",H61*Inputs!$B$7)</f>
        <v/>
      </c>
      <c r="J61" s="16" t="str">
        <f aca="false">IF(Tiers!K61="yes","free tier, excluded from the paid comparison",IF(D61=0,"team is larger than this tier's seat cap",IF(E61=0,"no published price, contact sales",IF(F61=0,"does not meet a required capability",IF(H61="","not priced on the chosen billing cadence","")))))</f>
        <v>free tier, excluded from the paid comparison</v>
      </c>
    </row>
    <row r="62" customFormat="false" ht="15" hidden="false" customHeight="false" outlineLevel="0" collapsed="false">
      <c r="A62" s="18" t="str">
        <f aca="false">Tiers!A62</f>
        <v>Runrun.it</v>
      </c>
      <c r="B62" s="18" t="str">
        <f aca="false">Tiers!B62</f>
        <v>Business</v>
      </c>
      <c r="C62" s="8" t="n">
        <f aca="false">MAX(Inputs!$B$5,IF(Tiers!I62="",1,Tiers!I62))</f>
        <v>25</v>
      </c>
      <c r="D62" s="8" t="n">
        <f aca="false">IF(Tiers!J62="",1,IF(Inputs!$B$5&lt;=Tiers!J62,1,0))</f>
        <v>1</v>
      </c>
      <c r="E62" s="8" t="n">
        <f aca="false">IF(Tiers!L62="public",1,0)</f>
        <v>1</v>
      </c>
      <c r="F62" s="8" t="n">
        <f aca="false">IF(AND(IF(Inputs!$B$11="yes",Tiers!M62="yes",TRUE()),IF(Inputs!$B$12="yes",Tiers!N62="yes",TRUE()),IF(Inputs!$B$13="yes",Tiers!O62="yes",TRUE())),1,0)</f>
        <v>1</v>
      </c>
      <c r="G62" s="8" t="n">
        <f aca="false">IF(Tiers!K62="yes",0,D62*E62*F62)</f>
        <v>1</v>
      </c>
      <c r="H62" s="15" t="n">
        <f aca="false">IF(G62=0,"",IF(Tiers!D62="per_seat",  IF(Inputs!$B$8="annual",IF(Tiers!E62="","",Tiers!E62*C62),                            IF(Tiers!F62="","",Tiers!F62*C62)),IF(Tiers!D62="flat",  IF(Inputs!$B$8="annual",IF(Tiers!G62="","",Tiers!G62/12),                            IF(Tiers!H62="","",Tiers!H62)),"")))</f>
        <v>250</v>
      </c>
      <c r="I62" s="19" t="n">
        <f aca="false">IF(H62="","",H62*Inputs!$B$7)</f>
        <v>9000</v>
      </c>
      <c r="J62" s="8" t="str">
        <f aca="false">IF(Tiers!K62="yes","free tier, excluded from the paid comparison",IF(D62=0,"team is larger than this tier's seat cap",IF(E62=0,"no published price, contact sales",IF(F62=0,"does not meet a required capability",IF(H62="","not priced on the chosen billing cadence","")))))</f>
        <v/>
      </c>
    </row>
    <row r="63" customFormat="false" ht="15" hidden="false" customHeight="false" outlineLevel="0" collapsed="false">
      <c r="A63" s="20" t="str">
        <f aca="false">Tiers!A63</f>
        <v>Runrun.it</v>
      </c>
      <c r="B63" s="20" t="str">
        <f aca="false">Tiers!B63</f>
        <v>Enterprise</v>
      </c>
      <c r="C63" s="16" t="n">
        <f aca="false">MAX(Inputs!$B$5,IF(Tiers!I63="",1,Tiers!I63))</f>
        <v>25</v>
      </c>
      <c r="D63" s="16" t="n">
        <f aca="false">IF(Tiers!J63="",1,IF(Inputs!$B$5&lt;=Tiers!J63,1,0))</f>
        <v>1</v>
      </c>
      <c r="E63" s="16" t="n">
        <f aca="false">IF(Tiers!L63="public",1,0)</f>
        <v>1</v>
      </c>
      <c r="F63" s="16" t="n">
        <f aca="false">IF(AND(IF(Inputs!$B$11="yes",Tiers!M63="yes",TRUE()),IF(Inputs!$B$12="yes",Tiers!N63="yes",TRUE()),IF(Inputs!$B$13="yes",Tiers!O63="yes",TRUE())),1,0)</f>
        <v>1</v>
      </c>
      <c r="G63" s="16" t="n">
        <f aca="false">IF(Tiers!K63="yes",0,D63*E63*F63)</f>
        <v>1</v>
      </c>
      <c r="H63" s="17" t="n">
        <f aca="false">IF(G63=0,"",IF(Tiers!D63="per_seat",  IF(Inputs!$B$8="annual",IF(Tiers!E63="","",Tiers!E63*C63),                            IF(Tiers!F63="","",Tiers!F63*C63)),IF(Tiers!D63="flat",  IF(Inputs!$B$8="annual",IF(Tiers!G63="","",Tiers!G63/12),                            IF(Tiers!H63="","",Tiers!H63)),"")))</f>
        <v>650</v>
      </c>
      <c r="I63" s="21" t="n">
        <f aca="false">IF(H63="","",H63*Inputs!$B$7)</f>
        <v>23400</v>
      </c>
      <c r="J63" s="16" t="str">
        <f aca="false">IF(Tiers!K63="yes","free tier, excluded from the paid comparison",IF(D63=0,"team is larger than this tier's seat cap",IF(E63=0,"no published price, contact sales",IF(F63=0,"does not meet a required capability",IF(H63="","not priced on the chosen billing cadence","")))))</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8" min="3" style="0" width="12"/>
  </cols>
  <sheetData>
    <row r="1" customFormat="false" ht="17.35" hidden="false" customHeight="false" outlineLevel="0" collapsed="false">
      <c r="A1" s="5" t="s">
        <v>171</v>
      </c>
    </row>
    <row r="2" customFormat="false" ht="15" hidden="false" customHeight="false" outlineLevel="0" collapsed="false">
      <c r="A2" s="6" t="s">
        <v>172</v>
      </c>
    </row>
    <row r="4" customFormat="false" ht="15" hidden="false" customHeight="false" outlineLevel="0" collapsed="false">
      <c r="A4" s="14" t="s">
        <v>39</v>
      </c>
      <c r="B4" s="14" t="s">
        <v>40</v>
      </c>
      <c r="C4" s="14" t="s">
        <v>173</v>
      </c>
      <c r="D4" s="14" t="s">
        <v>174</v>
      </c>
      <c r="E4" s="14" t="s">
        <v>175</v>
      </c>
      <c r="F4" s="14" t="s">
        <v>176</v>
      </c>
      <c r="G4" s="14" t="s">
        <v>177</v>
      </c>
      <c r="H4" s="14" t="s">
        <v>178</v>
      </c>
    </row>
    <row r="5" customFormat="false" ht="15" hidden="false" customHeight="false" outlineLevel="0" collapsed="false">
      <c r="A5" s="18" t="str">
        <f aca="false">Tiers!A2</f>
        <v>Smartsheet</v>
      </c>
      <c r="B5" s="18" t="str">
        <f aca="false">Tiers!B2</f>
        <v>Pro</v>
      </c>
      <c r="C5" s="15" t="n">
        <f aca="false">IF(Tiers!K2="yes","",IF(Model!F2=0,"",IF(Tiers!L2&lt;&gt;"public","",IF(AND(Tiers!J2&lt;&gt;"",5&gt;Tiers!J2),"",IF(Tiers!D2="per_seat",  IF(Inputs!$B$8="annual",IF(Tiers!E2="","",Tiers!E2*MAX(5,IF(Tiers!I2="",1,Tiers!I2))),                            IF(Tiers!F2="","",Tiers!F2*MAX(5,IF(Tiers!I2="",1,Tiers!I2)))),IF(Tiers!D2="flat",  IF(Inputs!$B$8="annual",IF(Tiers!G2="","",Tiers!G2/12),                            IF(Tiers!H2="","",Tiers!H2)),""))))))</f>
        <v>45</v>
      </c>
      <c r="D5" s="15" t="n">
        <f aca="false">IF(Tiers!K2="yes","",IF(Model!F2=0,"",IF(Tiers!L2&lt;&gt;"public","",IF(AND(Tiers!J2&lt;&gt;"",10&gt;Tiers!J2),"",IF(Tiers!D2="per_seat",  IF(Inputs!$B$8="annual",IF(Tiers!E2="","",Tiers!E2*MAX(10,IF(Tiers!I2="",1,Tiers!I2))),                            IF(Tiers!F2="","",Tiers!F2*MAX(10,IF(Tiers!I2="",1,Tiers!I2)))),IF(Tiers!D2="flat",  IF(Inputs!$B$8="annual",IF(Tiers!G2="","",Tiers!G2/12),                            IF(Tiers!H2="","",Tiers!H2)),""))))))</f>
        <v>90</v>
      </c>
      <c r="E5" s="15" t="str">
        <f aca="false">IF(Tiers!K2="yes","",IF(Model!F2=0,"",IF(Tiers!L2&lt;&gt;"public","",IF(AND(Tiers!J2&lt;&gt;"",25&gt;Tiers!J2),"",IF(Tiers!D2="per_seat",  IF(Inputs!$B$8="annual",IF(Tiers!E2="","",Tiers!E2*MAX(25,IF(Tiers!I2="",1,Tiers!I2))),                            IF(Tiers!F2="","",Tiers!F2*MAX(25,IF(Tiers!I2="",1,Tiers!I2)))),IF(Tiers!D2="flat",  IF(Inputs!$B$8="annual",IF(Tiers!G2="","",Tiers!G2/12),                            IF(Tiers!H2="","",Tiers!H2)),""))))))</f>
        <v/>
      </c>
      <c r="F5" s="15" t="str">
        <f aca="false">IF(Tiers!K2="yes","",IF(Model!F2=0,"",IF(Tiers!L2&lt;&gt;"public","",IF(AND(Tiers!J2&lt;&gt;"",50&gt;Tiers!J2),"",IF(Tiers!D2="per_seat",  IF(Inputs!$B$8="annual",IF(Tiers!E2="","",Tiers!E2*MAX(50,IF(Tiers!I2="",1,Tiers!I2))),                            IF(Tiers!F2="","",Tiers!F2*MAX(50,IF(Tiers!I2="",1,Tiers!I2)))),IF(Tiers!D2="flat",  IF(Inputs!$B$8="annual",IF(Tiers!G2="","",Tiers!G2/12),                            IF(Tiers!H2="","",Tiers!H2)),""))))))</f>
        <v/>
      </c>
      <c r="G5" s="15" t="str">
        <f aca="false">IF(Tiers!K2="yes","",IF(Model!F2=0,"",IF(Tiers!L2&lt;&gt;"public","",IF(AND(Tiers!J2&lt;&gt;"",100&gt;Tiers!J2),"",IF(Tiers!D2="per_seat",  IF(Inputs!$B$8="annual",IF(Tiers!E2="","",Tiers!E2*MAX(100,IF(Tiers!I2="",1,Tiers!I2))),                            IF(Tiers!F2="","",Tiers!F2*MAX(100,IF(Tiers!I2="",1,Tiers!I2)))),IF(Tiers!D2="flat",  IF(Inputs!$B$8="annual",IF(Tiers!G2="","",Tiers!G2/12),                            IF(Tiers!H2="","",Tiers!H2)),""))))))</f>
        <v/>
      </c>
      <c r="H5" s="15" t="str">
        <f aca="false">IF(Tiers!K2="yes","",IF(Model!F2=0,"",IF(Tiers!L2&lt;&gt;"public","",IF(AND(Tiers!J2&lt;&gt;"",250&gt;Tiers!J2),"",IF(Tiers!D2="per_seat",  IF(Inputs!$B$8="annual",IF(Tiers!E2="","",Tiers!E2*MAX(250,IF(Tiers!I2="",1,Tiers!I2))),                            IF(Tiers!F2="","",Tiers!F2*MAX(250,IF(Tiers!I2="",1,Tiers!I2)))),IF(Tiers!D2="flat",  IF(Inputs!$B$8="annual",IF(Tiers!G2="","",Tiers!G2/12),                            IF(Tiers!H2="","",Tiers!H2)),""))))))</f>
        <v/>
      </c>
    </row>
    <row r="6" customFormat="false" ht="15" hidden="false" customHeight="false" outlineLevel="0" collapsed="false">
      <c r="A6" s="20" t="str">
        <f aca="false">Tiers!A3</f>
        <v>Smartsheet</v>
      </c>
      <c r="B6" s="20" t="str">
        <f aca="false">Tiers!B3</f>
        <v>Business</v>
      </c>
      <c r="C6" s="17" t="n">
        <f aca="false">IF(Tiers!K3="yes","",IF(Model!F3=0,"",IF(Tiers!L3&lt;&gt;"public","",IF(AND(Tiers!J3&lt;&gt;"",5&gt;Tiers!J3),"",IF(Tiers!D3="per_seat",  IF(Inputs!$B$8="annual",IF(Tiers!E3="","",Tiers!E3*MAX(5,IF(Tiers!I3="",1,Tiers!I3))),                            IF(Tiers!F3="","",Tiers!F3*MAX(5,IF(Tiers!I3="",1,Tiers!I3)))),IF(Tiers!D3="flat",  IF(Inputs!$B$8="annual",IF(Tiers!G3="","",Tiers!G3/12),                            IF(Tiers!H3="","",Tiers!H3)),""))))))</f>
        <v>95</v>
      </c>
      <c r="D6" s="17" t="n">
        <f aca="false">IF(Tiers!K3="yes","",IF(Model!F3=0,"",IF(Tiers!L3&lt;&gt;"public","",IF(AND(Tiers!J3&lt;&gt;"",10&gt;Tiers!J3),"",IF(Tiers!D3="per_seat",  IF(Inputs!$B$8="annual",IF(Tiers!E3="","",Tiers!E3*MAX(10,IF(Tiers!I3="",1,Tiers!I3))),                            IF(Tiers!F3="","",Tiers!F3*MAX(10,IF(Tiers!I3="",1,Tiers!I3)))),IF(Tiers!D3="flat",  IF(Inputs!$B$8="annual",IF(Tiers!G3="","",Tiers!G3/12),                            IF(Tiers!H3="","",Tiers!H3)),""))))))</f>
        <v>190</v>
      </c>
      <c r="E6" s="17" t="n">
        <f aca="false">IF(Tiers!K3="yes","",IF(Model!F3=0,"",IF(Tiers!L3&lt;&gt;"public","",IF(AND(Tiers!J3&lt;&gt;"",25&gt;Tiers!J3),"",IF(Tiers!D3="per_seat",  IF(Inputs!$B$8="annual",IF(Tiers!E3="","",Tiers!E3*MAX(25,IF(Tiers!I3="",1,Tiers!I3))),                            IF(Tiers!F3="","",Tiers!F3*MAX(25,IF(Tiers!I3="",1,Tiers!I3)))),IF(Tiers!D3="flat",  IF(Inputs!$B$8="annual",IF(Tiers!G3="","",Tiers!G3/12),                            IF(Tiers!H3="","",Tiers!H3)),""))))))</f>
        <v>475</v>
      </c>
      <c r="F6" s="17" t="n">
        <f aca="false">IF(Tiers!K3="yes","",IF(Model!F3=0,"",IF(Tiers!L3&lt;&gt;"public","",IF(AND(Tiers!J3&lt;&gt;"",50&gt;Tiers!J3),"",IF(Tiers!D3="per_seat",  IF(Inputs!$B$8="annual",IF(Tiers!E3="","",Tiers!E3*MAX(50,IF(Tiers!I3="",1,Tiers!I3))),                            IF(Tiers!F3="","",Tiers!F3*MAX(50,IF(Tiers!I3="",1,Tiers!I3)))),IF(Tiers!D3="flat",  IF(Inputs!$B$8="annual",IF(Tiers!G3="","",Tiers!G3/12),                            IF(Tiers!H3="","",Tiers!H3)),""))))))</f>
        <v>950</v>
      </c>
      <c r="G6" s="17" t="n">
        <f aca="false">IF(Tiers!K3="yes","",IF(Model!F3=0,"",IF(Tiers!L3&lt;&gt;"public","",IF(AND(Tiers!J3&lt;&gt;"",100&gt;Tiers!J3),"",IF(Tiers!D3="per_seat",  IF(Inputs!$B$8="annual",IF(Tiers!E3="","",Tiers!E3*MAX(100,IF(Tiers!I3="",1,Tiers!I3))),                            IF(Tiers!F3="","",Tiers!F3*MAX(100,IF(Tiers!I3="",1,Tiers!I3)))),IF(Tiers!D3="flat",  IF(Inputs!$B$8="annual",IF(Tiers!G3="","",Tiers!G3/12),                            IF(Tiers!H3="","",Tiers!H3)),""))))))</f>
        <v>1900</v>
      </c>
      <c r="H6" s="17" t="n">
        <f aca="false">IF(Tiers!K3="yes","",IF(Model!F3=0,"",IF(Tiers!L3&lt;&gt;"public","",IF(AND(Tiers!J3&lt;&gt;"",250&gt;Tiers!J3),"",IF(Tiers!D3="per_seat",  IF(Inputs!$B$8="annual",IF(Tiers!E3="","",Tiers!E3*MAX(250,IF(Tiers!I3="",1,Tiers!I3))),                            IF(Tiers!F3="","",Tiers!F3*MAX(250,IF(Tiers!I3="",1,Tiers!I3)))),IF(Tiers!D3="flat",  IF(Inputs!$B$8="annual",IF(Tiers!G3="","",Tiers!G3/12),                            IF(Tiers!H3="","",Tiers!H3)),""))))))</f>
        <v>4750</v>
      </c>
    </row>
    <row r="7" customFormat="false" ht="15" hidden="false" customHeight="false" outlineLevel="0" collapsed="false">
      <c r="A7" s="18" t="str">
        <f aca="false">Tiers!A4</f>
        <v>Smartsheet</v>
      </c>
      <c r="B7" s="18" t="str">
        <f aca="false">Tiers!B4</f>
        <v>Enterprise</v>
      </c>
      <c r="C7" s="15" t="str">
        <f aca="false">IF(Tiers!K4="yes","",IF(Model!F4=0,"",IF(Tiers!L4&lt;&gt;"public","",IF(AND(Tiers!J4&lt;&gt;"",5&gt;Tiers!J4),"",IF(Tiers!D4="per_seat",  IF(Inputs!$B$8="annual",IF(Tiers!E4="","",Tiers!E4*MAX(5,IF(Tiers!I4="",1,Tiers!I4))),                            IF(Tiers!F4="","",Tiers!F4*MAX(5,IF(Tiers!I4="",1,Tiers!I4)))),IF(Tiers!D4="flat",  IF(Inputs!$B$8="annual",IF(Tiers!G4="","",Tiers!G4/12),                            IF(Tiers!H4="","",Tiers!H4)),""))))))</f>
        <v/>
      </c>
      <c r="D7" s="15" t="str">
        <f aca="false">IF(Tiers!K4="yes","",IF(Model!F4=0,"",IF(Tiers!L4&lt;&gt;"public","",IF(AND(Tiers!J4&lt;&gt;"",10&gt;Tiers!J4),"",IF(Tiers!D4="per_seat",  IF(Inputs!$B$8="annual",IF(Tiers!E4="","",Tiers!E4*MAX(10,IF(Tiers!I4="",1,Tiers!I4))),                            IF(Tiers!F4="","",Tiers!F4*MAX(10,IF(Tiers!I4="",1,Tiers!I4)))),IF(Tiers!D4="flat",  IF(Inputs!$B$8="annual",IF(Tiers!G4="","",Tiers!G4/12),                            IF(Tiers!H4="","",Tiers!H4)),""))))))</f>
        <v/>
      </c>
      <c r="E7" s="15" t="str">
        <f aca="false">IF(Tiers!K4="yes","",IF(Model!F4=0,"",IF(Tiers!L4&lt;&gt;"public","",IF(AND(Tiers!J4&lt;&gt;"",25&gt;Tiers!J4),"",IF(Tiers!D4="per_seat",  IF(Inputs!$B$8="annual",IF(Tiers!E4="","",Tiers!E4*MAX(25,IF(Tiers!I4="",1,Tiers!I4))),                            IF(Tiers!F4="","",Tiers!F4*MAX(25,IF(Tiers!I4="",1,Tiers!I4)))),IF(Tiers!D4="flat",  IF(Inputs!$B$8="annual",IF(Tiers!G4="","",Tiers!G4/12),                            IF(Tiers!H4="","",Tiers!H4)),""))))))</f>
        <v/>
      </c>
      <c r="F7" s="15" t="str">
        <f aca="false">IF(Tiers!K4="yes","",IF(Model!F4=0,"",IF(Tiers!L4&lt;&gt;"public","",IF(AND(Tiers!J4&lt;&gt;"",50&gt;Tiers!J4),"",IF(Tiers!D4="per_seat",  IF(Inputs!$B$8="annual",IF(Tiers!E4="","",Tiers!E4*MAX(50,IF(Tiers!I4="",1,Tiers!I4))),                            IF(Tiers!F4="","",Tiers!F4*MAX(50,IF(Tiers!I4="",1,Tiers!I4)))),IF(Tiers!D4="flat",  IF(Inputs!$B$8="annual",IF(Tiers!G4="","",Tiers!G4/12),                            IF(Tiers!H4="","",Tiers!H4)),""))))))</f>
        <v/>
      </c>
      <c r="G7" s="15" t="str">
        <f aca="false">IF(Tiers!K4="yes","",IF(Model!F4=0,"",IF(Tiers!L4&lt;&gt;"public","",IF(AND(Tiers!J4&lt;&gt;"",100&gt;Tiers!J4),"",IF(Tiers!D4="per_seat",  IF(Inputs!$B$8="annual",IF(Tiers!E4="","",Tiers!E4*MAX(100,IF(Tiers!I4="",1,Tiers!I4))),                            IF(Tiers!F4="","",Tiers!F4*MAX(100,IF(Tiers!I4="",1,Tiers!I4)))),IF(Tiers!D4="flat",  IF(Inputs!$B$8="annual",IF(Tiers!G4="","",Tiers!G4/12),                            IF(Tiers!H4="","",Tiers!H4)),""))))))</f>
        <v/>
      </c>
      <c r="H7" s="15" t="str">
        <f aca="false">IF(Tiers!K4="yes","",IF(Model!F4=0,"",IF(Tiers!L4&lt;&gt;"public","",IF(AND(Tiers!J4&lt;&gt;"",250&gt;Tiers!J4),"",IF(Tiers!D4="per_seat",  IF(Inputs!$B$8="annual",IF(Tiers!E4="","",Tiers!E4*MAX(250,IF(Tiers!I4="",1,Tiers!I4))),                            IF(Tiers!F4="","",Tiers!F4*MAX(250,IF(Tiers!I4="",1,Tiers!I4)))),IF(Tiers!D4="flat",  IF(Inputs!$B$8="annual",IF(Tiers!G4="","",Tiers!G4/12),                            IF(Tiers!H4="","",Tiers!H4)),""))))))</f>
        <v/>
      </c>
    </row>
    <row r="8" customFormat="false" ht="15" hidden="false" customHeight="false" outlineLevel="0" collapsed="false">
      <c r="A8" s="20" t="str">
        <f aca="false">Tiers!A5</f>
        <v>Smartsheet</v>
      </c>
      <c r="B8" s="20" t="str">
        <f aca="false">Tiers!B5</f>
        <v>Advanced Work Management</v>
      </c>
      <c r="C8" s="17" t="str">
        <f aca="false">IF(Tiers!K5="yes","",IF(Model!F5=0,"",IF(Tiers!L5&lt;&gt;"public","",IF(AND(Tiers!J5&lt;&gt;"",5&gt;Tiers!J5),"",IF(Tiers!D5="per_seat",  IF(Inputs!$B$8="annual",IF(Tiers!E5="","",Tiers!E5*MAX(5,IF(Tiers!I5="",1,Tiers!I5))),                            IF(Tiers!F5="","",Tiers!F5*MAX(5,IF(Tiers!I5="",1,Tiers!I5)))),IF(Tiers!D5="flat",  IF(Inputs!$B$8="annual",IF(Tiers!G5="","",Tiers!G5/12),                            IF(Tiers!H5="","",Tiers!H5)),""))))))</f>
        <v/>
      </c>
      <c r="D8" s="17" t="str">
        <f aca="false">IF(Tiers!K5="yes","",IF(Model!F5=0,"",IF(Tiers!L5&lt;&gt;"public","",IF(AND(Tiers!J5&lt;&gt;"",10&gt;Tiers!J5),"",IF(Tiers!D5="per_seat",  IF(Inputs!$B$8="annual",IF(Tiers!E5="","",Tiers!E5*MAX(10,IF(Tiers!I5="",1,Tiers!I5))),                            IF(Tiers!F5="","",Tiers!F5*MAX(10,IF(Tiers!I5="",1,Tiers!I5)))),IF(Tiers!D5="flat",  IF(Inputs!$B$8="annual",IF(Tiers!G5="","",Tiers!G5/12),                            IF(Tiers!H5="","",Tiers!H5)),""))))))</f>
        <v/>
      </c>
      <c r="E8" s="17" t="str">
        <f aca="false">IF(Tiers!K5="yes","",IF(Model!F5=0,"",IF(Tiers!L5&lt;&gt;"public","",IF(AND(Tiers!J5&lt;&gt;"",25&gt;Tiers!J5),"",IF(Tiers!D5="per_seat",  IF(Inputs!$B$8="annual",IF(Tiers!E5="","",Tiers!E5*MAX(25,IF(Tiers!I5="",1,Tiers!I5))),                            IF(Tiers!F5="","",Tiers!F5*MAX(25,IF(Tiers!I5="",1,Tiers!I5)))),IF(Tiers!D5="flat",  IF(Inputs!$B$8="annual",IF(Tiers!G5="","",Tiers!G5/12),                            IF(Tiers!H5="","",Tiers!H5)),""))))))</f>
        <v/>
      </c>
      <c r="F8" s="17" t="str">
        <f aca="false">IF(Tiers!K5="yes","",IF(Model!F5=0,"",IF(Tiers!L5&lt;&gt;"public","",IF(AND(Tiers!J5&lt;&gt;"",50&gt;Tiers!J5),"",IF(Tiers!D5="per_seat",  IF(Inputs!$B$8="annual",IF(Tiers!E5="","",Tiers!E5*MAX(50,IF(Tiers!I5="",1,Tiers!I5))),                            IF(Tiers!F5="","",Tiers!F5*MAX(50,IF(Tiers!I5="",1,Tiers!I5)))),IF(Tiers!D5="flat",  IF(Inputs!$B$8="annual",IF(Tiers!G5="","",Tiers!G5/12),                            IF(Tiers!H5="","",Tiers!H5)),""))))))</f>
        <v/>
      </c>
      <c r="G8" s="17" t="str">
        <f aca="false">IF(Tiers!K5="yes","",IF(Model!F5=0,"",IF(Tiers!L5&lt;&gt;"public","",IF(AND(Tiers!J5&lt;&gt;"",100&gt;Tiers!J5),"",IF(Tiers!D5="per_seat",  IF(Inputs!$B$8="annual",IF(Tiers!E5="","",Tiers!E5*MAX(100,IF(Tiers!I5="",1,Tiers!I5))),                            IF(Tiers!F5="","",Tiers!F5*MAX(100,IF(Tiers!I5="",1,Tiers!I5)))),IF(Tiers!D5="flat",  IF(Inputs!$B$8="annual",IF(Tiers!G5="","",Tiers!G5/12),                            IF(Tiers!H5="","",Tiers!H5)),""))))))</f>
        <v/>
      </c>
      <c r="H8" s="17" t="str">
        <f aca="false">IF(Tiers!K5="yes","",IF(Model!F5=0,"",IF(Tiers!L5&lt;&gt;"public","",IF(AND(Tiers!J5&lt;&gt;"",250&gt;Tiers!J5),"",IF(Tiers!D5="per_seat",  IF(Inputs!$B$8="annual",IF(Tiers!E5="","",Tiers!E5*MAX(250,IF(Tiers!I5="",1,Tiers!I5))),                            IF(Tiers!F5="","",Tiers!F5*MAX(250,IF(Tiers!I5="",1,Tiers!I5)))),IF(Tiers!D5="flat",  IF(Inputs!$B$8="annual",IF(Tiers!G5="","",Tiers!G5/12),                            IF(Tiers!H5="","",Tiers!H5)),""))))))</f>
        <v/>
      </c>
    </row>
    <row r="9" customFormat="false" ht="15" hidden="false" customHeight="false" outlineLevel="0" collapsed="false">
      <c r="A9" s="18" t="str">
        <f aca="false">Tiers!A6</f>
        <v>monday.com</v>
      </c>
      <c r="B9" s="18" t="str">
        <f aca="false">Tiers!B6</f>
        <v>Free</v>
      </c>
      <c r="C9" s="15" t="str">
        <f aca="false">IF(Tiers!K6="yes","",IF(Model!F6=0,"",IF(Tiers!L6&lt;&gt;"public","",IF(AND(Tiers!J6&lt;&gt;"",5&gt;Tiers!J6),"",IF(Tiers!D6="per_seat",  IF(Inputs!$B$8="annual",IF(Tiers!E6="","",Tiers!E6*MAX(5,IF(Tiers!I6="",1,Tiers!I6))),                            IF(Tiers!F6="","",Tiers!F6*MAX(5,IF(Tiers!I6="",1,Tiers!I6)))),IF(Tiers!D6="flat",  IF(Inputs!$B$8="annual",IF(Tiers!G6="","",Tiers!G6/12),                            IF(Tiers!H6="","",Tiers!H6)),""))))))</f>
        <v/>
      </c>
      <c r="D9" s="15" t="str">
        <f aca="false">IF(Tiers!K6="yes","",IF(Model!F6=0,"",IF(Tiers!L6&lt;&gt;"public","",IF(AND(Tiers!J6&lt;&gt;"",10&gt;Tiers!J6),"",IF(Tiers!D6="per_seat",  IF(Inputs!$B$8="annual",IF(Tiers!E6="","",Tiers!E6*MAX(10,IF(Tiers!I6="",1,Tiers!I6))),                            IF(Tiers!F6="","",Tiers!F6*MAX(10,IF(Tiers!I6="",1,Tiers!I6)))),IF(Tiers!D6="flat",  IF(Inputs!$B$8="annual",IF(Tiers!G6="","",Tiers!G6/12),                            IF(Tiers!H6="","",Tiers!H6)),""))))))</f>
        <v/>
      </c>
      <c r="E9" s="15" t="str">
        <f aca="false">IF(Tiers!K6="yes","",IF(Model!F6=0,"",IF(Tiers!L6&lt;&gt;"public","",IF(AND(Tiers!J6&lt;&gt;"",25&gt;Tiers!J6),"",IF(Tiers!D6="per_seat",  IF(Inputs!$B$8="annual",IF(Tiers!E6="","",Tiers!E6*MAX(25,IF(Tiers!I6="",1,Tiers!I6))),                            IF(Tiers!F6="","",Tiers!F6*MAX(25,IF(Tiers!I6="",1,Tiers!I6)))),IF(Tiers!D6="flat",  IF(Inputs!$B$8="annual",IF(Tiers!G6="","",Tiers!G6/12),                            IF(Tiers!H6="","",Tiers!H6)),""))))))</f>
        <v/>
      </c>
      <c r="F9" s="15" t="str">
        <f aca="false">IF(Tiers!K6="yes","",IF(Model!F6=0,"",IF(Tiers!L6&lt;&gt;"public","",IF(AND(Tiers!J6&lt;&gt;"",50&gt;Tiers!J6),"",IF(Tiers!D6="per_seat",  IF(Inputs!$B$8="annual",IF(Tiers!E6="","",Tiers!E6*MAX(50,IF(Tiers!I6="",1,Tiers!I6))),                            IF(Tiers!F6="","",Tiers!F6*MAX(50,IF(Tiers!I6="",1,Tiers!I6)))),IF(Tiers!D6="flat",  IF(Inputs!$B$8="annual",IF(Tiers!G6="","",Tiers!G6/12),                            IF(Tiers!H6="","",Tiers!H6)),""))))))</f>
        <v/>
      </c>
      <c r="G9" s="15" t="str">
        <f aca="false">IF(Tiers!K6="yes","",IF(Model!F6=0,"",IF(Tiers!L6&lt;&gt;"public","",IF(AND(Tiers!J6&lt;&gt;"",100&gt;Tiers!J6),"",IF(Tiers!D6="per_seat",  IF(Inputs!$B$8="annual",IF(Tiers!E6="","",Tiers!E6*MAX(100,IF(Tiers!I6="",1,Tiers!I6))),                            IF(Tiers!F6="","",Tiers!F6*MAX(100,IF(Tiers!I6="",1,Tiers!I6)))),IF(Tiers!D6="flat",  IF(Inputs!$B$8="annual",IF(Tiers!G6="","",Tiers!G6/12),                            IF(Tiers!H6="","",Tiers!H6)),""))))))</f>
        <v/>
      </c>
      <c r="H9" s="15" t="str">
        <f aca="false">IF(Tiers!K6="yes","",IF(Model!F6=0,"",IF(Tiers!L6&lt;&gt;"public","",IF(AND(Tiers!J6&lt;&gt;"",250&gt;Tiers!J6),"",IF(Tiers!D6="per_seat",  IF(Inputs!$B$8="annual",IF(Tiers!E6="","",Tiers!E6*MAX(250,IF(Tiers!I6="",1,Tiers!I6))),                            IF(Tiers!F6="","",Tiers!F6*MAX(250,IF(Tiers!I6="",1,Tiers!I6)))),IF(Tiers!D6="flat",  IF(Inputs!$B$8="annual",IF(Tiers!G6="","",Tiers!G6/12),                            IF(Tiers!H6="","",Tiers!H6)),""))))))</f>
        <v/>
      </c>
    </row>
    <row r="10" customFormat="false" ht="15" hidden="false" customHeight="false" outlineLevel="0" collapsed="false">
      <c r="A10" s="20" t="str">
        <f aca="false">Tiers!A7</f>
        <v>monday.com</v>
      </c>
      <c r="B10" s="20" t="str">
        <f aca="false">Tiers!B7</f>
        <v>Basic</v>
      </c>
      <c r="C10" s="17" t="n">
        <f aca="false">IF(Tiers!K7="yes","",IF(Model!F7=0,"",IF(Tiers!L7&lt;&gt;"public","",IF(AND(Tiers!J7&lt;&gt;"",5&gt;Tiers!J7),"",IF(Tiers!D7="per_seat",  IF(Inputs!$B$8="annual",IF(Tiers!E7="","",Tiers!E7*MAX(5,IF(Tiers!I7="",1,Tiers!I7))),                            IF(Tiers!F7="","",Tiers!F7*MAX(5,IF(Tiers!I7="",1,Tiers!I7)))),IF(Tiers!D7="flat",  IF(Inputs!$B$8="annual",IF(Tiers!G7="","",Tiers!G7/12),                            IF(Tiers!H7="","",Tiers!H7)),""))))))</f>
        <v>45</v>
      </c>
      <c r="D10" s="17" t="n">
        <f aca="false">IF(Tiers!K7="yes","",IF(Model!F7=0,"",IF(Tiers!L7&lt;&gt;"public","",IF(AND(Tiers!J7&lt;&gt;"",10&gt;Tiers!J7),"",IF(Tiers!D7="per_seat",  IF(Inputs!$B$8="annual",IF(Tiers!E7="","",Tiers!E7*MAX(10,IF(Tiers!I7="",1,Tiers!I7))),                            IF(Tiers!F7="","",Tiers!F7*MAX(10,IF(Tiers!I7="",1,Tiers!I7)))),IF(Tiers!D7="flat",  IF(Inputs!$B$8="annual",IF(Tiers!G7="","",Tiers!G7/12),                            IF(Tiers!H7="","",Tiers!H7)),""))))))</f>
        <v>90</v>
      </c>
      <c r="E10" s="17" t="n">
        <f aca="false">IF(Tiers!K7="yes","",IF(Model!F7=0,"",IF(Tiers!L7&lt;&gt;"public","",IF(AND(Tiers!J7&lt;&gt;"",25&gt;Tiers!J7),"",IF(Tiers!D7="per_seat",  IF(Inputs!$B$8="annual",IF(Tiers!E7="","",Tiers!E7*MAX(25,IF(Tiers!I7="",1,Tiers!I7))),                            IF(Tiers!F7="","",Tiers!F7*MAX(25,IF(Tiers!I7="",1,Tiers!I7)))),IF(Tiers!D7="flat",  IF(Inputs!$B$8="annual",IF(Tiers!G7="","",Tiers!G7/12),                            IF(Tiers!H7="","",Tiers!H7)),""))))))</f>
        <v>225</v>
      </c>
      <c r="F10" s="17" t="n">
        <f aca="false">IF(Tiers!K7="yes","",IF(Model!F7=0,"",IF(Tiers!L7&lt;&gt;"public","",IF(AND(Tiers!J7&lt;&gt;"",50&gt;Tiers!J7),"",IF(Tiers!D7="per_seat",  IF(Inputs!$B$8="annual",IF(Tiers!E7="","",Tiers!E7*MAX(50,IF(Tiers!I7="",1,Tiers!I7))),                            IF(Tiers!F7="","",Tiers!F7*MAX(50,IF(Tiers!I7="",1,Tiers!I7)))),IF(Tiers!D7="flat",  IF(Inputs!$B$8="annual",IF(Tiers!G7="","",Tiers!G7/12),                            IF(Tiers!H7="","",Tiers!H7)),""))))))</f>
        <v>450</v>
      </c>
      <c r="G10" s="17" t="n">
        <f aca="false">IF(Tiers!K7="yes","",IF(Model!F7=0,"",IF(Tiers!L7&lt;&gt;"public","",IF(AND(Tiers!J7&lt;&gt;"",100&gt;Tiers!J7),"",IF(Tiers!D7="per_seat",  IF(Inputs!$B$8="annual",IF(Tiers!E7="","",Tiers!E7*MAX(100,IF(Tiers!I7="",1,Tiers!I7))),                            IF(Tiers!F7="","",Tiers!F7*MAX(100,IF(Tiers!I7="",1,Tiers!I7)))),IF(Tiers!D7="flat",  IF(Inputs!$B$8="annual",IF(Tiers!G7="","",Tiers!G7/12),                            IF(Tiers!H7="","",Tiers!H7)),""))))))</f>
        <v>900</v>
      </c>
      <c r="H10" s="17" t="n">
        <f aca="false">IF(Tiers!K7="yes","",IF(Model!F7=0,"",IF(Tiers!L7&lt;&gt;"public","",IF(AND(Tiers!J7&lt;&gt;"",250&gt;Tiers!J7),"",IF(Tiers!D7="per_seat",  IF(Inputs!$B$8="annual",IF(Tiers!E7="","",Tiers!E7*MAX(250,IF(Tiers!I7="",1,Tiers!I7))),                            IF(Tiers!F7="","",Tiers!F7*MAX(250,IF(Tiers!I7="",1,Tiers!I7)))),IF(Tiers!D7="flat",  IF(Inputs!$B$8="annual",IF(Tiers!G7="","",Tiers!G7/12),                            IF(Tiers!H7="","",Tiers!H7)),""))))))</f>
        <v>2250</v>
      </c>
    </row>
    <row r="11" customFormat="false" ht="15" hidden="false" customHeight="false" outlineLevel="0" collapsed="false">
      <c r="A11" s="18" t="str">
        <f aca="false">Tiers!A8</f>
        <v>monday.com</v>
      </c>
      <c r="B11" s="18" t="str">
        <f aca="false">Tiers!B8</f>
        <v>Standard</v>
      </c>
      <c r="C11" s="15" t="n">
        <f aca="false">IF(Tiers!K8="yes","",IF(Model!F8=0,"",IF(Tiers!L8&lt;&gt;"public","",IF(AND(Tiers!J8&lt;&gt;"",5&gt;Tiers!J8),"",IF(Tiers!D8="per_seat",  IF(Inputs!$B$8="annual",IF(Tiers!E8="","",Tiers!E8*MAX(5,IF(Tiers!I8="",1,Tiers!I8))),                            IF(Tiers!F8="","",Tiers!F8*MAX(5,IF(Tiers!I8="",1,Tiers!I8)))),IF(Tiers!D8="flat",  IF(Inputs!$B$8="annual",IF(Tiers!G8="","",Tiers!G8/12),                            IF(Tiers!H8="","",Tiers!H8)),""))))))</f>
        <v>60</v>
      </c>
      <c r="D11" s="15" t="n">
        <f aca="false">IF(Tiers!K8="yes","",IF(Model!F8=0,"",IF(Tiers!L8&lt;&gt;"public","",IF(AND(Tiers!J8&lt;&gt;"",10&gt;Tiers!J8),"",IF(Tiers!D8="per_seat",  IF(Inputs!$B$8="annual",IF(Tiers!E8="","",Tiers!E8*MAX(10,IF(Tiers!I8="",1,Tiers!I8))),                            IF(Tiers!F8="","",Tiers!F8*MAX(10,IF(Tiers!I8="",1,Tiers!I8)))),IF(Tiers!D8="flat",  IF(Inputs!$B$8="annual",IF(Tiers!G8="","",Tiers!G8/12),                            IF(Tiers!H8="","",Tiers!H8)),""))))))</f>
        <v>120</v>
      </c>
      <c r="E11" s="15" t="n">
        <f aca="false">IF(Tiers!K8="yes","",IF(Model!F8=0,"",IF(Tiers!L8&lt;&gt;"public","",IF(AND(Tiers!J8&lt;&gt;"",25&gt;Tiers!J8),"",IF(Tiers!D8="per_seat",  IF(Inputs!$B$8="annual",IF(Tiers!E8="","",Tiers!E8*MAX(25,IF(Tiers!I8="",1,Tiers!I8))),                            IF(Tiers!F8="","",Tiers!F8*MAX(25,IF(Tiers!I8="",1,Tiers!I8)))),IF(Tiers!D8="flat",  IF(Inputs!$B$8="annual",IF(Tiers!G8="","",Tiers!G8/12),                            IF(Tiers!H8="","",Tiers!H8)),""))))))</f>
        <v>300</v>
      </c>
      <c r="F11" s="15" t="n">
        <f aca="false">IF(Tiers!K8="yes","",IF(Model!F8=0,"",IF(Tiers!L8&lt;&gt;"public","",IF(AND(Tiers!J8&lt;&gt;"",50&gt;Tiers!J8),"",IF(Tiers!D8="per_seat",  IF(Inputs!$B$8="annual",IF(Tiers!E8="","",Tiers!E8*MAX(50,IF(Tiers!I8="",1,Tiers!I8))),                            IF(Tiers!F8="","",Tiers!F8*MAX(50,IF(Tiers!I8="",1,Tiers!I8)))),IF(Tiers!D8="flat",  IF(Inputs!$B$8="annual",IF(Tiers!G8="","",Tiers!G8/12),                            IF(Tiers!H8="","",Tiers!H8)),""))))))</f>
        <v>600</v>
      </c>
      <c r="G11" s="15" t="n">
        <f aca="false">IF(Tiers!K8="yes","",IF(Model!F8=0,"",IF(Tiers!L8&lt;&gt;"public","",IF(AND(Tiers!J8&lt;&gt;"",100&gt;Tiers!J8),"",IF(Tiers!D8="per_seat",  IF(Inputs!$B$8="annual",IF(Tiers!E8="","",Tiers!E8*MAX(100,IF(Tiers!I8="",1,Tiers!I8))),                            IF(Tiers!F8="","",Tiers!F8*MAX(100,IF(Tiers!I8="",1,Tiers!I8)))),IF(Tiers!D8="flat",  IF(Inputs!$B$8="annual",IF(Tiers!G8="","",Tiers!G8/12),                            IF(Tiers!H8="","",Tiers!H8)),""))))))</f>
        <v>1200</v>
      </c>
      <c r="H11" s="15" t="n">
        <f aca="false">IF(Tiers!K8="yes","",IF(Model!F8=0,"",IF(Tiers!L8&lt;&gt;"public","",IF(AND(Tiers!J8&lt;&gt;"",250&gt;Tiers!J8),"",IF(Tiers!D8="per_seat",  IF(Inputs!$B$8="annual",IF(Tiers!E8="","",Tiers!E8*MAX(250,IF(Tiers!I8="",1,Tiers!I8))),                            IF(Tiers!F8="","",Tiers!F8*MAX(250,IF(Tiers!I8="",1,Tiers!I8)))),IF(Tiers!D8="flat",  IF(Inputs!$B$8="annual",IF(Tiers!G8="","",Tiers!G8/12),                            IF(Tiers!H8="","",Tiers!H8)),""))))))</f>
        <v>3000</v>
      </c>
    </row>
    <row r="12" customFormat="false" ht="15" hidden="false" customHeight="false" outlineLevel="0" collapsed="false">
      <c r="A12" s="20" t="str">
        <f aca="false">Tiers!A9</f>
        <v>monday.com</v>
      </c>
      <c r="B12" s="20" t="str">
        <f aca="false">Tiers!B9</f>
        <v>Pro</v>
      </c>
      <c r="C12" s="17" t="n">
        <f aca="false">IF(Tiers!K9="yes","",IF(Model!F9=0,"",IF(Tiers!L9&lt;&gt;"public","",IF(AND(Tiers!J9&lt;&gt;"",5&gt;Tiers!J9),"",IF(Tiers!D9="per_seat",  IF(Inputs!$B$8="annual",IF(Tiers!E9="","",Tiers!E9*MAX(5,IF(Tiers!I9="",1,Tiers!I9))),                            IF(Tiers!F9="","",Tiers!F9*MAX(5,IF(Tiers!I9="",1,Tiers!I9)))),IF(Tiers!D9="flat",  IF(Inputs!$B$8="annual",IF(Tiers!G9="","",Tiers!G9/12),                            IF(Tiers!H9="","",Tiers!H9)),""))))))</f>
        <v>95</v>
      </c>
      <c r="D12" s="17" t="n">
        <f aca="false">IF(Tiers!K9="yes","",IF(Model!F9=0,"",IF(Tiers!L9&lt;&gt;"public","",IF(AND(Tiers!J9&lt;&gt;"",10&gt;Tiers!J9),"",IF(Tiers!D9="per_seat",  IF(Inputs!$B$8="annual",IF(Tiers!E9="","",Tiers!E9*MAX(10,IF(Tiers!I9="",1,Tiers!I9))),                            IF(Tiers!F9="","",Tiers!F9*MAX(10,IF(Tiers!I9="",1,Tiers!I9)))),IF(Tiers!D9="flat",  IF(Inputs!$B$8="annual",IF(Tiers!G9="","",Tiers!G9/12),                            IF(Tiers!H9="","",Tiers!H9)),""))))))</f>
        <v>190</v>
      </c>
      <c r="E12" s="17" t="n">
        <f aca="false">IF(Tiers!K9="yes","",IF(Model!F9=0,"",IF(Tiers!L9&lt;&gt;"public","",IF(AND(Tiers!J9&lt;&gt;"",25&gt;Tiers!J9),"",IF(Tiers!D9="per_seat",  IF(Inputs!$B$8="annual",IF(Tiers!E9="","",Tiers!E9*MAX(25,IF(Tiers!I9="",1,Tiers!I9))),                            IF(Tiers!F9="","",Tiers!F9*MAX(25,IF(Tiers!I9="",1,Tiers!I9)))),IF(Tiers!D9="flat",  IF(Inputs!$B$8="annual",IF(Tiers!G9="","",Tiers!G9/12),                            IF(Tiers!H9="","",Tiers!H9)),""))))))</f>
        <v>475</v>
      </c>
      <c r="F12" s="17" t="n">
        <f aca="false">IF(Tiers!K9="yes","",IF(Model!F9=0,"",IF(Tiers!L9&lt;&gt;"public","",IF(AND(Tiers!J9&lt;&gt;"",50&gt;Tiers!J9),"",IF(Tiers!D9="per_seat",  IF(Inputs!$B$8="annual",IF(Tiers!E9="","",Tiers!E9*MAX(50,IF(Tiers!I9="",1,Tiers!I9))),                            IF(Tiers!F9="","",Tiers!F9*MAX(50,IF(Tiers!I9="",1,Tiers!I9)))),IF(Tiers!D9="flat",  IF(Inputs!$B$8="annual",IF(Tiers!G9="","",Tiers!G9/12),                            IF(Tiers!H9="","",Tiers!H9)),""))))))</f>
        <v>950</v>
      </c>
      <c r="G12" s="17" t="n">
        <f aca="false">IF(Tiers!K9="yes","",IF(Model!F9=0,"",IF(Tiers!L9&lt;&gt;"public","",IF(AND(Tiers!J9&lt;&gt;"",100&gt;Tiers!J9),"",IF(Tiers!D9="per_seat",  IF(Inputs!$B$8="annual",IF(Tiers!E9="","",Tiers!E9*MAX(100,IF(Tiers!I9="",1,Tiers!I9))),                            IF(Tiers!F9="","",Tiers!F9*MAX(100,IF(Tiers!I9="",1,Tiers!I9)))),IF(Tiers!D9="flat",  IF(Inputs!$B$8="annual",IF(Tiers!G9="","",Tiers!G9/12),                            IF(Tiers!H9="","",Tiers!H9)),""))))))</f>
        <v>1900</v>
      </c>
      <c r="H12" s="17" t="n">
        <f aca="false">IF(Tiers!K9="yes","",IF(Model!F9=0,"",IF(Tiers!L9&lt;&gt;"public","",IF(AND(Tiers!J9&lt;&gt;"",250&gt;Tiers!J9),"",IF(Tiers!D9="per_seat",  IF(Inputs!$B$8="annual",IF(Tiers!E9="","",Tiers!E9*MAX(250,IF(Tiers!I9="",1,Tiers!I9))),                            IF(Tiers!F9="","",Tiers!F9*MAX(250,IF(Tiers!I9="",1,Tiers!I9)))),IF(Tiers!D9="flat",  IF(Inputs!$B$8="annual",IF(Tiers!G9="","",Tiers!G9/12),                            IF(Tiers!H9="","",Tiers!H9)),""))))))</f>
        <v>4750</v>
      </c>
    </row>
    <row r="13" customFormat="false" ht="15" hidden="false" customHeight="false" outlineLevel="0" collapsed="false">
      <c r="A13" s="18" t="str">
        <f aca="false">Tiers!A10</f>
        <v>monday.com</v>
      </c>
      <c r="B13" s="18" t="str">
        <f aca="false">Tiers!B10</f>
        <v>Enterprise</v>
      </c>
      <c r="C13" s="15" t="str">
        <f aca="false">IF(Tiers!K10="yes","",IF(Model!F10=0,"",IF(Tiers!L10&lt;&gt;"public","",IF(AND(Tiers!J10&lt;&gt;"",5&gt;Tiers!J10),"",IF(Tiers!D10="per_seat",  IF(Inputs!$B$8="annual",IF(Tiers!E10="","",Tiers!E10*MAX(5,IF(Tiers!I10="",1,Tiers!I10))),                            IF(Tiers!F10="","",Tiers!F10*MAX(5,IF(Tiers!I10="",1,Tiers!I10)))),IF(Tiers!D10="flat",  IF(Inputs!$B$8="annual",IF(Tiers!G10="","",Tiers!G10/12),                            IF(Tiers!H10="","",Tiers!H10)),""))))))</f>
        <v/>
      </c>
      <c r="D13" s="15" t="str">
        <f aca="false">IF(Tiers!K10="yes","",IF(Model!F10=0,"",IF(Tiers!L10&lt;&gt;"public","",IF(AND(Tiers!J10&lt;&gt;"",10&gt;Tiers!J10),"",IF(Tiers!D10="per_seat",  IF(Inputs!$B$8="annual",IF(Tiers!E10="","",Tiers!E10*MAX(10,IF(Tiers!I10="",1,Tiers!I10))),                            IF(Tiers!F10="","",Tiers!F10*MAX(10,IF(Tiers!I10="",1,Tiers!I10)))),IF(Tiers!D10="flat",  IF(Inputs!$B$8="annual",IF(Tiers!G10="","",Tiers!G10/12),                            IF(Tiers!H10="","",Tiers!H10)),""))))))</f>
        <v/>
      </c>
      <c r="E13" s="15" t="str">
        <f aca="false">IF(Tiers!K10="yes","",IF(Model!F10=0,"",IF(Tiers!L10&lt;&gt;"public","",IF(AND(Tiers!J10&lt;&gt;"",25&gt;Tiers!J10),"",IF(Tiers!D10="per_seat",  IF(Inputs!$B$8="annual",IF(Tiers!E10="","",Tiers!E10*MAX(25,IF(Tiers!I10="",1,Tiers!I10))),                            IF(Tiers!F10="","",Tiers!F10*MAX(25,IF(Tiers!I10="",1,Tiers!I10)))),IF(Tiers!D10="flat",  IF(Inputs!$B$8="annual",IF(Tiers!G10="","",Tiers!G10/12),                            IF(Tiers!H10="","",Tiers!H10)),""))))))</f>
        <v/>
      </c>
      <c r="F13" s="15" t="str">
        <f aca="false">IF(Tiers!K10="yes","",IF(Model!F10=0,"",IF(Tiers!L10&lt;&gt;"public","",IF(AND(Tiers!J10&lt;&gt;"",50&gt;Tiers!J10),"",IF(Tiers!D10="per_seat",  IF(Inputs!$B$8="annual",IF(Tiers!E10="","",Tiers!E10*MAX(50,IF(Tiers!I10="",1,Tiers!I10))),                            IF(Tiers!F10="","",Tiers!F10*MAX(50,IF(Tiers!I10="",1,Tiers!I10)))),IF(Tiers!D10="flat",  IF(Inputs!$B$8="annual",IF(Tiers!G10="","",Tiers!G10/12),                            IF(Tiers!H10="","",Tiers!H10)),""))))))</f>
        <v/>
      </c>
      <c r="G13" s="15" t="str">
        <f aca="false">IF(Tiers!K10="yes","",IF(Model!F10=0,"",IF(Tiers!L10&lt;&gt;"public","",IF(AND(Tiers!J10&lt;&gt;"",100&gt;Tiers!J10),"",IF(Tiers!D10="per_seat",  IF(Inputs!$B$8="annual",IF(Tiers!E10="","",Tiers!E10*MAX(100,IF(Tiers!I10="",1,Tiers!I10))),                            IF(Tiers!F10="","",Tiers!F10*MAX(100,IF(Tiers!I10="",1,Tiers!I10)))),IF(Tiers!D10="flat",  IF(Inputs!$B$8="annual",IF(Tiers!G10="","",Tiers!G10/12),                            IF(Tiers!H10="","",Tiers!H10)),""))))))</f>
        <v/>
      </c>
      <c r="H13" s="15" t="str">
        <f aca="false">IF(Tiers!K10="yes","",IF(Model!F10=0,"",IF(Tiers!L10&lt;&gt;"public","",IF(AND(Tiers!J10&lt;&gt;"",250&gt;Tiers!J10),"",IF(Tiers!D10="per_seat",  IF(Inputs!$B$8="annual",IF(Tiers!E10="","",Tiers!E10*MAX(250,IF(Tiers!I10="",1,Tiers!I10))),                            IF(Tiers!F10="","",Tiers!F10*MAX(250,IF(Tiers!I10="",1,Tiers!I10)))),IF(Tiers!D10="flat",  IF(Inputs!$B$8="annual",IF(Tiers!G10="","",Tiers!G10/12),                            IF(Tiers!H10="","",Tiers!H10)),""))))))</f>
        <v/>
      </c>
    </row>
    <row r="14" customFormat="false" ht="15" hidden="false" customHeight="false" outlineLevel="0" collapsed="false">
      <c r="A14" s="20" t="str">
        <f aca="false">Tiers!A11</f>
        <v>ClickUp</v>
      </c>
      <c r="B14" s="20" t="str">
        <f aca="false">Tiers!B11</f>
        <v>Free Forever</v>
      </c>
      <c r="C14" s="17" t="str">
        <f aca="false">IF(Tiers!K11="yes","",IF(Model!F11=0,"",IF(Tiers!L11&lt;&gt;"public","",IF(AND(Tiers!J11&lt;&gt;"",5&gt;Tiers!J11),"",IF(Tiers!D11="per_seat",  IF(Inputs!$B$8="annual",IF(Tiers!E11="","",Tiers!E11*MAX(5,IF(Tiers!I11="",1,Tiers!I11))),                            IF(Tiers!F11="","",Tiers!F11*MAX(5,IF(Tiers!I11="",1,Tiers!I11)))),IF(Tiers!D11="flat",  IF(Inputs!$B$8="annual",IF(Tiers!G11="","",Tiers!G11/12),                            IF(Tiers!H11="","",Tiers!H11)),""))))))</f>
        <v/>
      </c>
      <c r="D14" s="17" t="str">
        <f aca="false">IF(Tiers!K11="yes","",IF(Model!F11=0,"",IF(Tiers!L11&lt;&gt;"public","",IF(AND(Tiers!J11&lt;&gt;"",10&gt;Tiers!J11),"",IF(Tiers!D11="per_seat",  IF(Inputs!$B$8="annual",IF(Tiers!E11="","",Tiers!E11*MAX(10,IF(Tiers!I11="",1,Tiers!I11))),                            IF(Tiers!F11="","",Tiers!F11*MAX(10,IF(Tiers!I11="",1,Tiers!I11)))),IF(Tiers!D11="flat",  IF(Inputs!$B$8="annual",IF(Tiers!G11="","",Tiers!G11/12),                            IF(Tiers!H11="","",Tiers!H11)),""))))))</f>
        <v/>
      </c>
      <c r="E14" s="17" t="str">
        <f aca="false">IF(Tiers!K11="yes","",IF(Model!F11=0,"",IF(Tiers!L11&lt;&gt;"public","",IF(AND(Tiers!J11&lt;&gt;"",25&gt;Tiers!J11),"",IF(Tiers!D11="per_seat",  IF(Inputs!$B$8="annual",IF(Tiers!E11="","",Tiers!E11*MAX(25,IF(Tiers!I11="",1,Tiers!I11))),                            IF(Tiers!F11="","",Tiers!F11*MAX(25,IF(Tiers!I11="",1,Tiers!I11)))),IF(Tiers!D11="flat",  IF(Inputs!$B$8="annual",IF(Tiers!G11="","",Tiers!G11/12),                            IF(Tiers!H11="","",Tiers!H11)),""))))))</f>
        <v/>
      </c>
      <c r="F14" s="17" t="str">
        <f aca="false">IF(Tiers!K11="yes","",IF(Model!F11=0,"",IF(Tiers!L11&lt;&gt;"public","",IF(AND(Tiers!J11&lt;&gt;"",50&gt;Tiers!J11),"",IF(Tiers!D11="per_seat",  IF(Inputs!$B$8="annual",IF(Tiers!E11="","",Tiers!E11*MAX(50,IF(Tiers!I11="",1,Tiers!I11))),                            IF(Tiers!F11="","",Tiers!F11*MAX(50,IF(Tiers!I11="",1,Tiers!I11)))),IF(Tiers!D11="flat",  IF(Inputs!$B$8="annual",IF(Tiers!G11="","",Tiers!G11/12),                            IF(Tiers!H11="","",Tiers!H11)),""))))))</f>
        <v/>
      </c>
      <c r="G14" s="17" t="str">
        <f aca="false">IF(Tiers!K11="yes","",IF(Model!F11=0,"",IF(Tiers!L11&lt;&gt;"public","",IF(AND(Tiers!J11&lt;&gt;"",100&gt;Tiers!J11),"",IF(Tiers!D11="per_seat",  IF(Inputs!$B$8="annual",IF(Tiers!E11="","",Tiers!E11*MAX(100,IF(Tiers!I11="",1,Tiers!I11))),                            IF(Tiers!F11="","",Tiers!F11*MAX(100,IF(Tiers!I11="",1,Tiers!I11)))),IF(Tiers!D11="flat",  IF(Inputs!$B$8="annual",IF(Tiers!G11="","",Tiers!G11/12),                            IF(Tiers!H11="","",Tiers!H11)),""))))))</f>
        <v/>
      </c>
      <c r="H14" s="17" t="str">
        <f aca="false">IF(Tiers!K11="yes","",IF(Model!F11=0,"",IF(Tiers!L11&lt;&gt;"public","",IF(AND(Tiers!J11&lt;&gt;"",250&gt;Tiers!J11),"",IF(Tiers!D11="per_seat",  IF(Inputs!$B$8="annual",IF(Tiers!E11="","",Tiers!E11*MAX(250,IF(Tiers!I11="",1,Tiers!I11))),                            IF(Tiers!F11="","",Tiers!F11*MAX(250,IF(Tiers!I11="",1,Tiers!I11)))),IF(Tiers!D11="flat",  IF(Inputs!$B$8="annual",IF(Tiers!G11="","",Tiers!G11/12),                            IF(Tiers!H11="","",Tiers!H11)),""))))))</f>
        <v/>
      </c>
    </row>
    <row r="15" customFormat="false" ht="15" hidden="false" customHeight="false" outlineLevel="0" collapsed="false">
      <c r="A15" s="18" t="str">
        <f aca="false">Tiers!A12</f>
        <v>ClickUp</v>
      </c>
      <c r="B15" s="18" t="str">
        <f aca="false">Tiers!B12</f>
        <v>Unlimited</v>
      </c>
      <c r="C15" s="15" t="n">
        <f aca="false">IF(Tiers!K12="yes","",IF(Model!F12=0,"",IF(Tiers!L12&lt;&gt;"public","",IF(AND(Tiers!J12&lt;&gt;"",5&gt;Tiers!J12),"",IF(Tiers!D12="per_seat",  IF(Inputs!$B$8="annual",IF(Tiers!E12="","",Tiers!E12*MAX(5,IF(Tiers!I12="",1,Tiers!I12))),                            IF(Tiers!F12="","",Tiers!F12*MAX(5,IF(Tiers!I12="",1,Tiers!I12)))),IF(Tiers!D12="flat",  IF(Inputs!$B$8="annual",IF(Tiers!G12="","",Tiers!G12/12),                            IF(Tiers!H12="","",Tiers!H12)),""))))))</f>
        <v>35</v>
      </c>
      <c r="D15" s="15" t="n">
        <f aca="false">IF(Tiers!K12="yes","",IF(Model!F12=0,"",IF(Tiers!L12&lt;&gt;"public","",IF(AND(Tiers!J12&lt;&gt;"",10&gt;Tiers!J12),"",IF(Tiers!D12="per_seat",  IF(Inputs!$B$8="annual",IF(Tiers!E12="","",Tiers!E12*MAX(10,IF(Tiers!I12="",1,Tiers!I12))),                            IF(Tiers!F12="","",Tiers!F12*MAX(10,IF(Tiers!I12="",1,Tiers!I12)))),IF(Tiers!D12="flat",  IF(Inputs!$B$8="annual",IF(Tiers!G12="","",Tiers!G12/12),                            IF(Tiers!H12="","",Tiers!H12)),""))))))</f>
        <v>70</v>
      </c>
      <c r="E15" s="15" t="n">
        <f aca="false">IF(Tiers!K12="yes","",IF(Model!F12=0,"",IF(Tiers!L12&lt;&gt;"public","",IF(AND(Tiers!J12&lt;&gt;"",25&gt;Tiers!J12),"",IF(Tiers!D12="per_seat",  IF(Inputs!$B$8="annual",IF(Tiers!E12="","",Tiers!E12*MAX(25,IF(Tiers!I12="",1,Tiers!I12))),                            IF(Tiers!F12="","",Tiers!F12*MAX(25,IF(Tiers!I12="",1,Tiers!I12)))),IF(Tiers!D12="flat",  IF(Inputs!$B$8="annual",IF(Tiers!G12="","",Tiers!G12/12),                            IF(Tiers!H12="","",Tiers!H12)),""))))))</f>
        <v>175</v>
      </c>
      <c r="F15" s="15" t="n">
        <f aca="false">IF(Tiers!K12="yes","",IF(Model!F12=0,"",IF(Tiers!L12&lt;&gt;"public","",IF(AND(Tiers!J12&lt;&gt;"",50&gt;Tiers!J12),"",IF(Tiers!D12="per_seat",  IF(Inputs!$B$8="annual",IF(Tiers!E12="","",Tiers!E12*MAX(50,IF(Tiers!I12="",1,Tiers!I12))),                            IF(Tiers!F12="","",Tiers!F12*MAX(50,IF(Tiers!I12="",1,Tiers!I12)))),IF(Tiers!D12="flat",  IF(Inputs!$B$8="annual",IF(Tiers!G12="","",Tiers!G12/12),                            IF(Tiers!H12="","",Tiers!H12)),""))))))</f>
        <v>350</v>
      </c>
      <c r="G15" s="15" t="n">
        <f aca="false">IF(Tiers!K12="yes","",IF(Model!F12=0,"",IF(Tiers!L12&lt;&gt;"public","",IF(AND(Tiers!J12&lt;&gt;"",100&gt;Tiers!J12),"",IF(Tiers!D12="per_seat",  IF(Inputs!$B$8="annual",IF(Tiers!E12="","",Tiers!E12*MAX(100,IF(Tiers!I12="",1,Tiers!I12))),                            IF(Tiers!F12="","",Tiers!F12*MAX(100,IF(Tiers!I12="",1,Tiers!I12)))),IF(Tiers!D12="flat",  IF(Inputs!$B$8="annual",IF(Tiers!G12="","",Tiers!G12/12),                            IF(Tiers!H12="","",Tiers!H12)),""))))))</f>
        <v>700</v>
      </c>
      <c r="H15" s="15" t="n">
        <f aca="false">IF(Tiers!K12="yes","",IF(Model!F12=0,"",IF(Tiers!L12&lt;&gt;"public","",IF(AND(Tiers!J12&lt;&gt;"",250&gt;Tiers!J12),"",IF(Tiers!D12="per_seat",  IF(Inputs!$B$8="annual",IF(Tiers!E12="","",Tiers!E12*MAX(250,IF(Tiers!I12="",1,Tiers!I12))),                            IF(Tiers!F12="","",Tiers!F12*MAX(250,IF(Tiers!I12="",1,Tiers!I12)))),IF(Tiers!D12="flat",  IF(Inputs!$B$8="annual",IF(Tiers!G12="","",Tiers!G12/12),                            IF(Tiers!H12="","",Tiers!H12)),""))))))</f>
        <v>1750</v>
      </c>
    </row>
    <row r="16" customFormat="false" ht="15" hidden="false" customHeight="false" outlineLevel="0" collapsed="false">
      <c r="A16" s="20" t="str">
        <f aca="false">Tiers!A13</f>
        <v>ClickUp</v>
      </c>
      <c r="B16" s="20" t="str">
        <f aca="false">Tiers!B13</f>
        <v>Business</v>
      </c>
      <c r="C16" s="17" t="n">
        <f aca="false">IF(Tiers!K13="yes","",IF(Model!F13=0,"",IF(Tiers!L13&lt;&gt;"public","",IF(AND(Tiers!J13&lt;&gt;"",5&gt;Tiers!J13),"",IF(Tiers!D13="per_seat",  IF(Inputs!$B$8="annual",IF(Tiers!E13="","",Tiers!E13*MAX(5,IF(Tiers!I13="",1,Tiers!I13))),                            IF(Tiers!F13="","",Tiers!F13*MAX(5,IF(Tiers!I13="",1,Tiers!I13)))),IF(Tiers!D13="flat",  IF(Inputs!$B$8="annual",IF(Tiers!G13="","",Tiers!G13/12),                            IF(Tiers!H13="","",Tiers!H13)),""))))))</f>
        <v>60</v>
      </c>
      <c r="D16" s="17" t="n">
        <f aca="false">IF(Tiers!K13="yes","",IF(Model!F13=0,"",IF(Tiers!L13&lt;&gt;"public","",IF(AND(Tiers!J13&lt;&gt;"",10&gt;Tiers!J13),"",IF(Tiers!D13="per_seat",  IF(Inputs!$B$8="annual",IF(Tiers!E13="","",Tiers!E13*MAX(10,IF(Tiers!I13="",1,Tiers!I13))),                            IF(Tiers!F13="","",Tiers!F13*MAX(10,IF(Tiers!I13="",1,Tiers!I13)))),IF(Tiers!D13="flat",  IF(Inputs!$B$8="annual",IF(Tiers!G13="","",Tiers!G13/12),                            IF(Tiers!H13="","",Tiers!H13)),""))))))</f>
        <v>120</v>
      </c>
      <c r="E16" s="17" t="n">
        <f aca="false">IF(Tiers!K13="yes","",IF(Model!F13=0,"",IF(Tiers!L13&lt;&gt;"public","",IF(AND(Tiers!J13&lt;&gt;"",25&gt;Tiers!J13),"",IF(Tiers!D13="per_seat",  IF(Inputs!$B$8="annual",IF(Tiers!E13="","",Tiers!E13*MAX(25,IF(Tiers!I13="",1,Tiers!I13))),                            IF(Tiers!F13="","",Tiers!F13*MAX(25,IF(Tiers!I13="",1,Tiers!I13)))),IF(Tiers!D13="flat",  IF(Inputs!$B$8="annual",IF(Tiers!G13="","",Tiers!G13/12),                            IF(Tiers!H13="","",Tiers!H13)),""))))))</f>
        <v>300</v>
      </c>
      <c r="F16" s="17" t="n">
        <f aca="false">IF(Tiers!K13="yes","",IF(Model!F13=0,"",IF(Tiers!L13&lt;&gt;"public","",IF(AND(Tiers!J13&lt;&gt;"",50&gt;Tiers!J13),"",IF(Tiers!D13="per_seat",  IF(Inputs!$B$8="annual",IF(Tiers!E13="","",Tiers!E13*MAX(50,IF(Tiers!I13="",1,Tiers!I13))),                            IF(Tiers!F13="","",Tiers!F13*MAX(50,IF(Tiers!I13="",1,Tiers!I13)))),IF(Tiers!D13="flat",  IF(Inputs!$B$8="annual",IF(Tiers!G13="","",Tiers!G13/12),                            IF(Tiers!H13="","",Tiers!H13)),""))))))</f>
        <v>600</v>
      </c>
      <c r="G16" s="17" t="n">
        <f aca="false">IF(Tiers!K13="yes","",IF(Model!F13=0,"",IF(Tiers!L13&lt;&gt;"public","",IF(AND(Tiers!J13&lt;&gt;"",100&gt;Tiers!J13),"",IF(Tiers!D13="per_seat",  IF(Inputs!$B$8="annual",IF(Tiers!E13="","",Tiers!E13*MAX(100,IF(Tiers!I13="",1,Tiers!I13))),                            IF(Tiers!F13="","",Tiers!F13*MAX(100,IF(Tiers!I13="",1,Tiers!I13)))),IF(Tiers!D13="flat",  IF(Inputs!$B$8="annual",IF(Tiers!G13="","",Tiers!G13/12),                            IF(Tiers!H13="","",Tiers!H13)),""))))))</f>
        <v>1200</v>
      </c>
      <c r="H16" s="17" t="n">
        <f aca="false">IF(Tiers!K13="yes","",IF(Model!F13=0,"",IF(Tiers!L13&lt;&gt;"public","",IF(AND(Tiers!J13&lt;&gt;"",250&gt;Tiers!J13),"",IF(Tiers!D13="per_seat",  IF(Inputs!$B$8="annual",IF(Tiers!E13="","",Tiers!E13*MAX(250,IF(Tiers!I13="",1,Tiers!I13))),                            IF(Tiers!F13="","",Tiers!F13*MAX(250,IF(Tiers!I13="",1,Tiers!I13)))),IF(Tiers!D13="flat",  IF(Inputs!$B$8="annual",IF(Tiers!G13="","",Tiers!G13/12),                            IF(Tiers!H13="","",Tiers!H13)),""))))))</f>
        <v>3000</v>
      </c>
    </row>
    <row r="17" customFormat="false" ht="15" hidden="false" customHeight="false" outlineLevel="0" collapsed="false">
      <c r="A17" s="18" t="str">
        <f aca="false">Tiers!A14</f>
        <v>ClickUp</v>
      </c>
      <c r="B17" s="18" t="str">
        <f aca="false">Tiers!B14</f>
        <v>Enterprise</v>
      </c>
      <c r="C17" s="15" t="str">
        <f aca="false">IF(Tiers!K14="yes","",IF(Model!F14=0,"",IF(Tiers!L14&lt;&gt;"public","",IF(AND(Tiers!J14&lt;&gt;"",5&gt;Tiers!J14),"",IF(Tiers!D14="per_seat",  IF(Inputs!$B$8="annual",IF(Tiers!E14="","",Tiers!E14*MAX(5,IF(Tiers!I14="",1,Tiers!I14))),                            IF(Tiers!F14="","",Tiers!F14*MAX(5,IF(Tiers!I14="",1,Tiers!I14)))),IF(Tiers!D14="flat",  IF(Inputs!$B$8="annual",IF(Tiers!G14="","",Tiers!G14/12),                            IF(Tiers!H14="","",Tiers!H14)),""))))))</f>
        <v/>
      </c>
      <c r="D17" s="15" t="str">
        <f aca="false">IF(Tiers!K14="yes","",IF(Model!F14=0,"",IF(Tiers!L14&lt;&gt;"public","",IF(AND(Tiers!J14&lt;&gt;"",10&gt;Tiers!J14),"",IF(Tiers!D14="per_seat",  IF(Inputs!$B$8="annual",IF(Tiers!E14="","",Tiers!E14*MAX(10,IF(Tiers!I14="",1,Tiers!I14))),                            IF(Tiers!F14="","",Tiers!F14*MAX(10,IF(Tiers!I14="",1,Tiers!I14)))),IF(Tiers!D14="flat",  IF(Inputs!$B$8="annual",IF(Tiers!G14="","",Tiers!G14/12),                            IF(Tiers!H14="","",Tiers!H14)),""))))))</f>
        <v/>
      </c>
      <c r="E17" s="15" t="str">
        <f aca="false">IF(Tiers!K14="yes","",IF(Model!F14=0,"",IF(Tiers!L14&lt;&gt;"public","",IF(AND(Tiers!J14&lt;&gt;"",25&gt;Tiers!J14),"",IF(Tiers!D14="per_seat",  IF(Inputs!$B$8="annual",IF(Tiers!E14="","",Tiers!E14*MAX(25,IF(Tiers!I14="",1,Tiers!I14))),                            IF(Tiers!F14="","",Tiers!F14*MAX(25,IF(Tiers!I14="",1,Tiers!I14)))),IF(Tiers!D14="flat",  IF(Inputs!$B$8="annual",IF(Tiers!G14="","",Tiers!G14/12),                            IF(Tiers!H14="","",Tiers!H14)),""))))))</f>
        <v/>
      </c>
      <c r="F17" s="15" t="str">
        <f aca="false">IF(Tiers!K14="yes","",IF(Model!F14=0,"",IF(Tiers!L14&lt;&gt;"public","",IF(AND(Tiers!J14&lt;&gt;"",50&gt;Tiers!J14),"",IF(Tiers!D14="per_seat",  IF(Inputs!$B$8="annual",IF(Tiers!E14="","",Tiers!E14*MAX(50,IF(Tiers!I14="",1,Tiers!I14))),                            IF(Tiers!F14="","",Tiers!F14*MAX(50,IF(Tiers!I14="",1,Tiers!I14)))),IF(Tiers!D14="flat",  IF(Inputs!$B$8="annual",IF(Tiers!G14="","",Tiers!G14/12),                            IF(Tiers!H14="","",Tiers!H14)),""))))))</f>
        <v/>
      </c>
      <c r="G17" s="15" t="str">
        <f aca="false">IF(Tiers!K14="yes","",IF(Model!F14=0,"",IF(Tiers!L14&lt;&gt;"public","",IF(AND(Tiers!J14&lt;&gt;"",100&gt;Tiers!J14),"",IF(Tiers!D14="per_seat",  IF(Inputs!$B$8="annual",IF(Tiers!E14="","",Tiers!E14*MAX(100,IF(Tiers!I14="",1,Tiers!I14))),                            IF(Tiers!F14="","",Tiers!F14*MAX(100,IF(Tiers!I14="",1,Tiers!I14)))),IF(Tiers!D14="flat",  IF(Inputs!$B$8="annual",IF(Tiers!G14="","",Tiers!G14/12),                            IF(Tiers!H14="","",Tiers!H14)),""))))))</f>
        <v/>
      </c>
      <c r="H17" s="15" t="str">
        <f aca="false">IF(Tiers!K14="yes","",IF(Model!F14=0,"",IF(Tiers!L14&lt;&gt;"public","",IF(AND(Tiers!J14&lt;&gt;"",250&gt;Tiers!J14),"",IF(Tiers!D14="per_seat",  IF(Inputs!$B$8="annual",IF(Tiers!E14="","",Tiers!E14*MAX(250,IF(Tiers!I14="",1,Tiers!I14))),                            IF(Tiers!F14="","",Tiers!F14*MAX(250,IF(Tiers!I14="",1,Tiers!I14)))),IF(Tiers!D14="flat",  IF(Inputs!$B$8="annual",IF(Tiers!G14="","",Tiers!G14/12),                            IF(Tiers!H14="","",Tiers!H14)),""))))))</f>
        <v/>
      </c>
    </row>
    <row r="18" customFormat="false" ht="15" hidden="false" customHeight="false" outlineLevel="0" collapsed="false">
      <c r="A18" s="20" t="str">
        <f aca="false">Tiers!A15</f>
        <v>Trello</v>
      </c>
      <c r="B18" s="20" t="str">
        <f aca="false">Tiers!B15</f>
        <v>Free</v>
      </c>
      <c r="C18" s="17" t="str">
        <f aca="false">IF(Tiers!K15="yes","",IF(Model!F15=0,"",IF(Tiers!L15&lt;&gt;"public","",IF(AND(Tiers!J15&lt;&gt;"",5&gt;Tiers!J15),"",IF(Tiers!D15="per_seat",  IF(Inputs!$B$8="annual",IF(Tiers!E15="","",Tiers!E15*MAX(5,IF(Tiers!I15="",1,Tiers!I15))),                            IF(Tiers!F15="","",Tiers!F15*MAX(5,IF(Tiers!I15="",1,Tiers!I15)))),IF(Tiers!D15="flat",  IF(Inputs!$B$8="annual",IF(Tiers!G15="","",Tiers!G15/12),                            IF(Tiers!H15="","",Tiers!H15)),""))))))</f>
        <v/>
      </c>
      <c r="D18" s="17" t="str">
        <f aca="false">IF(Tiers!K15="yes","",IF(Model!F15=0,"",IF(Tiers!L15&lt;&gt;"public","",IF(AND(Tiers!J15&lt;&gt;"",10&gt;Tiers!J15),"",IF(Tiers!D15="per_seat",  IF(Inputs!$B$8="annual",IF(Tiers!E15="","",Tiers!E15*MAX(10,IF(Tiers!I15="",1,Tiers!I15))),                            IF(Tiers!F15="","",Tiers!F15*MAX(10,IF(Tiers!I15="",1,Tiers!I15)))),IF(Tiers!D15="flat",  IF(Inputs!$B$8="annual",IF(Tiers!G15="","",Tiers!G15/12),                            IF(Tiers!H15="","",Tiers!H15)),""))))))</f>
        <v/>
      </c>
      <c r="E18" s="17" t="str">
        <f aca="false">IF(Tiers!K15="yes","",IF(Model!F15=0,"",IF(Tiers!L15&lt;&gt;"public","",IF(AND(Tiers!J15&lt;&gt;"",25&gt;Tiers!J15),"",IF(Tiers!D15="per_seat",  IF(Inputs!$B$8="annual",IF(Tiers!E15="","",Tiers!E15*MAX(25,IF(Tiers!I15="",1,Tiers!I15))),                            IF(Tiers!F15="","",Tiers!F15*MAX(25,IF(Tiers!I15="",1,Tiers!I15)))),IF(Tiers!D15="flat",  IF(Inputs!$B$8="annual",IF(Tiers!G15="","",Tiers!G15/12),                            IF(Tiers!H15="","",Tiers!H15)),""))))))</f>
        <v/>
      </c>
      <c r="F18" s="17" t="str">
        <f aca="false">IF(Tiers!K15="yes","",IF(Model!F15=0,"",IF(Tiers!L15&lt;&gt;"public","",IF(AND(Tiers!J15&lt;&gt;"",50&gt;Tiers!J15),"",IF(Tiers!D15="per_seat",  IF(Inputs!$B$8="annual",IF(Tiers!E15="","",Tiers!E15*MAX(50,IF(Tiers!I15="",1,Tiers!I15))),                            IF(Tiers!F15="","",Tiers!F15*MAX(50,IF(Tiers!I15="",1,Tiers!I15)))),IF(Tiers!D15="flat",  IF(Inputs!$B$8="annual",IF(Tiers!G15="","",Tiers!G15/12),                            IF(Tiers!H15="","",Tiers!H15)),""))))))</f>
        <v/>
      </c>
      <c r="G18" s="17" t="str">
        <f aca="false">IF(Tiers!K15="yes","",IF(Model!F15=0,"",IF(Tiers!L15&lt;&gt;"public","",IF(AND(Tiers!J15&lt;&gt;"",100&gt;Tiers!J15),"",IF(Tiers!D15="per_seat",  IF(Inputs!$B$8="annual",IF(Tiers!E15="","",Tiers!E15*MAX(100,IF(Tiers!I15="",1,Tiers!I15))),                            IF(Tiers!F15="","",Tiers!F15*MAX(100,IF(Tiers!I15="",1,Tiers!I15)))),IF(Tiers!D15="flat",  IF(Inputs!$B$8="annual",IF(Tiers!G15="","",Tiers!G15/12),                            IF(Tiers!H15="","",Tiers!H15)),""))))))</f>
        <v/>
      </c>
      <c r="H18" s="17" t="str">
        <f aca="false">IF(Tiers!K15="yes","",IF(Model!F15=0,"",IF(Tiers!L15&lt;&gt;"public","",IF(AND(Tiers!J15&lt;&gt;"",250&gt;Tiers!J15),"",IF(Tiers!D15="per_seat",  IF(Inputs!$B$8="annual",IF(Tiers!E15="","",Tiers!E15*MAX(250,IF(Tiers!I15="",1,Tiers!I15))),                            IF(Tiers!F15="","",Tiers!F15*MAX(250,IF(Tiers!I15="",1,Tiers!I15)))),IF(Tiers!D15="flat",  IF(Inputs!$B$8="annual",IF(Tiers!G15="","",Tiers!G15/12),                            IF(Tiers!H15="","",Tiers!H15)),""))))))</f>
        <v/>
      </c>
    </row>
    <row r="19" customFormat="false" ht="15" hidden="false" customHeight="false" outlineLevel="0" collapsed="false">
      <c r="A19" s="18" t="str">
        <f aca="false">Tiers!A16</f>
        <v>Trello</v>
      </c>
      <c r="B19" s="18" t="str">
        <f aca="false">Tiers!B16</f>
        <v>Standard</v>
      </c>
      <c r="C19" s="15" t="n">
        <f aca="false">IF(Tiers!K16="yes","",IF(Model!F16=0,"",IF(Tiers!L16&lt;&gt;"public","",IF(AND(Tiers!J16&lt;&gt;"",5&gt;Tiers!J16),"",IF(Tiers!D16="per_seat",  IF(Inputs!$B$8="annual",IF(Tiers!E16="","",Tiers!E16*MAX(5,IF(Tiers!I16="",1,Tiers!I16))),                            IF(Tiers!F16="","",Tiers!F16*MAX(5,IF(Tiers!I16="",1,Tiers!I16)))),IF(Tiers!D16="flat",  IF(Inputs!$B$8="annual",IF(Tiers!G16="","",Tiers!G16/12),                            IF(Tiers!H16="","",Tiers!H16)),""))))))</f>
        <v>25</v>
      </c>
      <c r="D19" s="15" t="n">
        <f aca="false">IF(Tiers!K16="yes","",IF(Model!F16=0,"",IF(Tiers!L16&lt;&gt;"public","",IF(AND(Tiers!J16&lt;&gt;"",10&gt;Tiers!J16),"",IF(Tiers!D16="per_seat",  IF(Inputs!$B$8="annual",IF(Tiers!E16="","",Tiers!E16*MAX(10,IF(Tiers!I16="",1,Tiers!I16))),                            IF(Tiers!F16="","",Tiers!F16*MAX(10,IF(Tiers!I16="",1,Tiers!I16)))),IF(Tiers!D16="flat",  IF(Inputs!$B$8="annual",IF(Tiers!G16="","",Tiers!G16/12),                            IF(Tiers!H16="","",Tiers!H16)),""))))))</f>
        <v>50</v>
      </c>
      <c r="E19" s="15" t="n">
        <f aca="false">IF(Tiers!K16="yes","",IF(Model!F16=0,"",IF(Tiers!L16&lt;&gt;"public","",IF(AND(Tiers!J16&lt;&gt;"",25&gt;Tiers!J16),"",IF(Tiers!D16="per_seat",  IF(Inputs!$B$8="annual",IF(Tiers!E16="","",Tiers!E16*MAX(25,IF(Tiers!I16="",1,Tiers!I16))),                            IF(Tiers!F16="","",Tiers!F16*MAX(25,IF(Tiers!I16="",1,Tiers!I16)))),IF(Tiers!D16="flat",  IF(Inputs!$B$8="annual",IF(Tiers!G16="","",Tiers!G16/12),                            IF(Tiers!H16="","",Tiers!H16)),""))))))</f>
        <v>125</v>
      </c>
      <c r="F19" s="15" t="n">
        <f aca="false">IF(Tiers!K16="yes","",IF(Model!F16=0,"",IF(Tiers!L16&lt;&gt;"public","",IF(AND(Tiers!J16&lt;&gt;"",50&gt;Tiers!J16),"",IF(Tiers!D16="per_seat",  IF(Inputs!$B$8="annual",IF(Tiers!E16="","",Tiers!E16*MAX(50,IF(Tiers!I16="",1,Tiers!I16))),                            IF(Tiers!F16="","",Tiers!F16*MAX(50,IF(Tiers!I16="",1,Tiers!I16)))),IF(Tiers!D16="flat",  IF(Inputs!$B$8="annual",IF(Tiers!G16="","",Tiers!G16/12),                            IF(Tiers!H16="","",Tiers!H16)),""))))))</f>
        <v>250</v>
      </c>
      <c r="G19" s="15" t="n">
        <f aca="false">IF(Tiers!K16="yes","",IF(Model!F16=0,"",IF(Tiers!L16&lt;&gt;"public","",IF(AND(Tiers!J16&lt;&gt;"",100&gt;Tiers!J16),"",IF(Tiers!D16="per_seat",  IF(Inputs!$B$8="annual",IF(Tiers!E16="","",Tiers!E16*MAX(100,IF(Tiers!I16="",1,Tiers!I16))),                            IF(Tiers!F16="","",Tiers!F16*MAX(100,IF(Tiers!I16="",1,Tiers!I16)))),IF(Tiers!D16="flat",  IF(Inputs!$B$8="annual",IF(Tiers!G16="","",Tiers!G16/12),                            IF(Tiers!H16="","",Tiers!H16)),""))))))</f>
        <v>500</v>
      </c>
      <c r="H19" s="15" t="n">
        <f aca="false">IF(Tiers!K16="yes","",IF(Model!F16=0,"",IF(Tiers!L16&lt;&gt;"public","",IF(AND(Tiers!J16&lt;&gt;"",250&gt;Tiers!J16),"",IF(Tiers!D16="per_seat",  IF(Inputs!$B$8="annual",IF(Tiers!E16="","",Tiers!E16*MAX(250,IF(Tiers!I16="",1,Tiers!I16))),                            IF(Tiers!F16="","",Tiers!F16*MAX(250,IF(Tiers!I16="",1,Tiers!I16)))),IF(Tiers!D16="flat",  IF(Inputs!$B$8="annual",IF(Tiers!G16="","",Tiers!G16/12),                            IF(Tiers!H16="","",Tiers!H16)),""))))))</f>
        <v>1250</v>
      </c>
    </row>
    <row r="20" customFormat="false" ht="15" hidden="false" customHeight="false" outlineLevel="0" collapsed="false">
      <c r="A20" s="20" t="str">
        <f aca="false">Tiers!A17</f>
        <v>Trello</v>
      </c>
      <c r="B20" s="20" t="str">
        <f aca="false">Tiers!B17</f>
        <v>Premium</v>
      </c>
      <c r="C20" s="17" t="n">
        <f aca="false">IF(Tiers!K17="yes","",IF(Model!F17=0,"",IF(Tiers!L17&lt;&gt;"public","",IF(AND(Tiers!J17&lt;&gt;"",5&gt;Tiers!J17),"",IF(Tiers!D17="per_seat",  IF(Inputs!$B$8="annual",IF(Tiers!E17="","",Tiers!E17*MAX(5,IF(Tiers!I17="",1,Tiers!I17))),                            IF(Tiers!F17="","",Tiers!F17*MAX(5,IF(Tiers!I17="",1,Tiers!I17)))),IF(Tiers!D17="flat",  IF(Inputs!$B$8="annual",IF(Tiers!G17="","",Tiers!G17/12),                            IF(Tiers!H17="","",Tiers!H17)),""))))))</f>
        <v>50</v>
      </c>
      <c r="D20" s="17" t="n">
        <f aca="false">IF(Tiers!K17="yes","",IF(Model!F17=0,"",IF(Tiers!L17&lt;&gt;"public","",IF(AND(Tiers!J17&lt;&gt;"",10&gt;Tiers!J17),"",IF(Tiers!D17="per_seat",  IF(Inputs!$B$8="annual",IF(Tiers!E17="","",Tiers!E17*MAX(10,IF(Tiers!I17="",1,Tiers!I17))),                            IF(Tiers!F17="","",Tiers!F17*MAX(10,IF(Tiers!I17="",1,Tiers!I17)))),IF(Tiers!D17="flat",  IF(Inputs!$B$8="annual",IF(Tiers!G17="","",Tiers!G17/12),                            IF(Tiers!H17="","",Tiers!H17)),""))))))</f>
        <v>100</v>
      </c>
      <c r="E20" s="17" t="n">
        <f aca="false">IF(Tiers!K17="yes","",IF(Model!F17=0,"",IF(Tiers!L17&lt;&gt;"public","",IF(AND(Tiers!J17&lt;&gt;"",25&gt;Tiers!J17),"",IF(Tiers!D17="per_seat",  IF(Inputs!$B$8="annual",IF(Tiers!E17="","",Tiers!E17*MAX(25,IF(Tiers!I17="",1,Tiers!I17))),                            IF(Tiers!F17="","",Tiers!F17*MAX(25,IF(Tiers!I17="",1,Tiers!I17)))),IF(Tiers!D17="flat",  IF(Inputs!$B$8="annual",IF(Tiers!G17="","",Tiers!G17/12),                            IF(Tiers!H17="","",Tiers!H17)),""))))))</f>
        <v>250</v>
      </c>
      <c r="F20" s="17" t="n">
        <f aca="false">IF(Tiers!K17="yes","",IF(Model!F17=0,"",IF(Tiers!L17&lt;&gt;"public","",IF(AND(Tiers!J17&lt;&gt;"",50&gt;Tiers!J17),"",IF(Tiers!D17="per_seat",  IF(Inputs!$B$8="annual",IF(Tiers!E17="","",Tiers!E17*MAX(50,IF(Tiers!I17="",1,Tiers!I17))),                            IF(Tiers!F17="","",Tiers!F17*MAX(50,IF(Tiers!I17="",1,Tiers!I17)))),IF(Tiers!D17="flat",  IF(Inputs!$B$8="annual",IF(Tiers!G17="","",Tiers!G17/12),                            IF(Tiers!H17="","",Tiers!H17)),""))))))</f>
        <v>500</v>
      </c>
      <c r="G20" s="17" t="n">
        <f aca="false">IF(Tiers!K17="yes","",IF(Model!F17=0,"",IF(Tiers!L17&lt;&gt;"public","",IF(AND(Tiers!J17&lt;&gt;"",100&gt;Tiers!J17),"",IF(Tiers!D17="per_seat",  IF(Inputs!$B$8="annual",IF(Tiers!E17="","",Tiers!E17*MAX(100,IF(Tiers!I17="",1,Tiers!I17))),                            IF(Tiers!F17="","",Tiers!F17*MAX(100,IF(Tiers!I17="",1,Tiers!I17)))),IF(Tiers!D17="flat",  IF(Inputs!$B$8="annual",IF(Tiers!G17="","",Tiers!G17/12),                            IF(Tiers!H17="","",Tiers!H17)),""))))))</f>
        <v>1000</v>
      </c>
      <c r="H20" s="17" t="n">
        <f aca="false">IF(Tiers!K17="yes","",IF(Model!F17=0,"",IF(Tiers!L17&lt;&gt;"public","",IF(AND(Tiers!J17&lt;&gt;"",250&gt;Tiers!J17),"",IF(Tiers!D17="per_seat",  IF(Inputs!$B$8="annual",IF(Tiers!E17="","",Tiers!E17*MAX(250,IF(Tiers!I17="",1,Tiers!I17))),                            IF(Tiers!F17="","",Tiers!F17*MAX(250,IF(Tiers!I17="",1,Tiers!I17)))),IF(Tiers!D17="flat",  IF(Inputs!$B$8="annual",IF(Tiers!G17="","",Tiers!G17/12),                            IF(Tiers!H17="","",Tiers!H17)),""))))))</f>
        <v>2500</v>
      </c>
    </row>
    <row r="21" customFormat="false" ht="15" hidden="false" customHeight="false" outlineLevel="0" collapsed="false">
      <c r="A21" s="18" t="str">
        <f aca="false">Tiers!A18</f>
        <v>Trello</v>
      </c>
      <c r="B21" s="18" t="str">
        <f aca="false">Tiers!B18</f>
        <v>Enterprise</v>
      </c>
      <c r="C21" s="15" t="n">
        <f aca="false">IF(Tiers!K18="yes","",IF(Model!F18=0,"",IF(Tiers!L18&lt;&gt;"public","",IF(AND(Tiers!J18&lt;&gt;"",5&gt;Tiers!J18),"",IF(Tiers!D18="per_seat",  IF(Inputs!$B$8="annual",IF(Tiers!E18="","",Tiers!E18*MAX(5,IF(Tiers!I18="",1,Tiers!I18))),                            IF(Tiers!F18="","",Tiers!F18*MAX(5,IF(Tiers!I18="",1,Tiers!I18)))),IF(Tiers!D18="flat",  IF(Inputs!$B$8="annual",IF(Tiers!G18="","",Tiers!G18/12),                            IF(Tiers!H18="","",Tiers!H18)),""))))))</f>
        <v>875</v>
      </c>
      <c r="D21" s="15" t="n">
        <f aca="false">IF(Tiers!K18="yes","",IF(Model!F18=0,"",IF(Tiers!L18&lt;&gt;"public","",IF(AND(Tiers!J18&lt;&gt;"",10&gt;Tiers!J18),"",IF(Tiers!D18="per_seat",  IF(Inputs!$B$8="annual",IF(Tiers!E18="","",Tiers!E18*MAX(10,IF(Tiers!I18="",1,Tiers!I18))),                            IF(Tiers!F18="","",Tiers!F18*MAX(10,IF(Tiers!I18="",1,Tiers!I18)))),IF(Tiers!D18="flat",  IF(Inputs!$B$8="annual",IF(Tiers!G18="","",Tiers!G18/12),                            IF(Tiers!H18="","",Tiers!H18)),""))))))</f>
        <v>875</v>
      </c>
      <c r="E21" s="15" t="n">
        <f aca="false">IF(Tiers!K18="yes","",IF(Model!F18=0,"",IF(Tiers!L18&lt;&gt;"public","",IF(AND(Tiers!J18&lt;&gt;"",25&gt;Tiers!J18),"",IF(Tiers!D18="per_seat",  IF(Inputs!$B$8="annual",IF(Tiers!E18="","",Tiers!E18*MAX(25,IF(Tiers!I18="",1,Tiers!I18))),                            IF(Tiers!F18="","",Tiers!F18*MAX(25,IF(Tiers!I18="",1,Tiers!I18)))),IF(Tiers!D18="flat",  IF(Inputs!$B$8="annual",IF(Tiers!G18="","",Tiers!G18/12),                            IF(Tiers!H18="","",Tiers!H18)),""))))))</f>
        <v>875</v>
      </c>
      <c r="F21" s="15" t="n">
        <f aca="false">IF(Tiers!K18="yes","",IF(Model!F18=0,"",IF(Tiers!L18&lt;&gt;"public","",IF(AND(Tiers!J18&lt;&gt;"",50&gt;Tiers!J18),"",IF(Tiers!D18="per_seat",  IF(Inputs!$B$8="annual",IF(Tiers!E18="","",Tiers!E18*MAX(50,IF(Tiers!I18="",1,Tiers!I18))),                            IF(Tiers!F18="","",Tiers!F18*MAX(50,IF(Tiers!I18="",1,Tiers!I18)))),IF(Tiers!D18="flat",  IF(Inputs!$B$8="annual",IF(Tiers!G18="","",Tiers!G18/12),                            IF(Tiers!H18="","",Tiers!H18)),""))))))</f>
        <v>875</v>
      </c>
      <c r="G21" s="15" t="n">
        <f aca="false">IF(Tiers!K18="yes","",IF(Model!F18=0,"",IF(Tiers!L18&lt;&gt;"public","",IF(AND(Tiers!J18&lt;&gt;"",100&gt;Tiers!J18),"",IF(Tiers!D18="per_seat",  IF(Inputs!$B$8="annual",IF(Tiers!E18="","",Tiers!E18*MAX(100,IF(Tiers!I18="",1,Tiers!I18))),                            IF(Tiers!F18="","",Tiers!F18*MAX(100,IF(Tiers!I18="",1,Tiers!I18)))),IF(Tiers!D18="flat",  IF(Inputs!$B$8="annual",IF(Tiers!G18="","",Tiers!G18/12),                            IF(Tiers!H18="","",Tiers!H18)),""))))))</f>
        <v>1750</v>
      </c>
      <c r="H21" s="15" t="n">
        <f aca="false">IF(Tiers!K18="yes","",IF(Model!F18=0,"",IF(Tiers!L18&lt;&gt;"public","",IF(AND(Tiers!J18&lt;&gt;"",250&gt;Tiers!J18),"",IF(Tiers!D18="per_seat",  IF(Inputs!$B$8="annual",IF(Tiers!E18="","",Tiers!E18*MAX(250,IF(Tiers!I18="",1,Tiers!I18))),                            IF(Tiers!F18="","",Tiers!F18*MAX(250,IF(Tiers!I18="",1,Tiers!I18)))),IF(Tiers!D18="flat",  IF(Inputs!$B$8="annual",IF(Tiers!G18="","",Tiers!G18/12),                            IF(Tiers!H18="","",Tiers!H18)),""))))))</f>
        <v>4375</v>
      </c>
    </row>
    <row r="22" customFormat="false" ht="15" hidden="false" customHeight="false" outlineLevel="0" collapsed="false">
      <c r="A22" s="20" t="str">
        <f aca="false">Tiers!A19</f>
        <v>Asana</v>
      </c>
      <c r="B22" s="20" t="str">
        <f aca="false">Tiers!B19</f>
        <v>Personal</v>
      </c>
      <c r="C22" s="17" t="str">
        <f aca="false">IF(Tiers!K19="yes","",IF(Model!F19=0,"",IF(Tiers!L19&lt;&gt;"public","",IF(AND(Tiers!J19&lt;&gt;"",5&gt;Tiers!J19),"",IF(Tiers!D19="per_seat",  IF(Inputs!$B$8="annual",IF(Tiers!E19="","",Tiers!E19*MAX(5,IF(Tiers!I19="",1,Tiers!I19))),                            IF(Tiers!F19="","",Tiers!F19*MAX(5,IF(Tiers!I19="",1,Tiers!I19)))),IF(Tiers!D19="flat",  IF(Inputs!$B$8="annual",IF(Tiers!G19="","",Tiers!G19/12),                            IF(Tiers!H19="","",Tiers!H19)),""))))))</f>
        <v/>
      </c>
      <c r="D22" s="17" t="str">
        <f aca="false">IF(Tiers!K19="yes","",IF(Model!F19=0,"",IF(Tiers!L19&lt;&gt;"public","",IF(AND(Tiers!J19&lt;&gt;"",10&gt;Tiers!J19),"",IF(Tiers!D19="per_seat",  IF(Inputs!$B$8="annual",IF(Tiers!E19="","",Tiers!E19*MAX(10,IF(Tiers!I19="",1,Tiers!I19))),                            IF(Tiers!F19="","",Tiers!F19*MAX(10,IF(Tiers!I19="",1,Tiers!I19)))),IF(Tiers!D19="flat",  IF(Inputs!$B$8="annual",IF(Tiers!G19="","",Tiers!G19/12),                            IF(Tiers!H19="","",Tiers!H19)),""))))))</f>
        <v/>
      </c>
      <c r="E22" s="17" t="str">
        <f aca="false">IF(Tiers!K19="yes","",IF(Model!F19=0,"",IF(Tiers!L19&lt;&gt;"public","",IF(AND(Tiers!J19&lt;&gt;"",25&gt;Tiers!J19),"",IF(Tiers!D19="per_seat",  IF(Inputs!$B$8="annual",IF(Tiers!E19="","",Tiers!E19*MAX(25,IF(Tiers!I19="",1,Tiers!I19))),                            IF(Tiers!F19="","",Tiers!F19*MAX(25,IF(Tiers!I19="",1,Tiers!I19)))),IF(Tiers!D19="flat",  IF(Inputs!$B$8="annual",IF(Tiers!G19="","",Tiers!G19/12),                            IF(Tiers!H19="","",Tiers!H19)),""))))))</f>
        <v/>
      </c>
      <c r="F22" s="17" t="str">
        <f aca="false">IF(Tiers!K19="yes","",IF(Model!F19=0,"",IF(Tiers!L19&lt;&gt;"public","",IF(AND(Tiers!J19&lt;&gt;"",50&gt;Tiers!J19),"",IF(Tiers!D19="per_seat",  IF(Inputs!$B$8="annual",IF(Tiers!E19="","",Tiers!E19*MAX(50,IF(Tiers!I19="",1,Tiers!I19))),                            IF(Tiers!F19="","",Tiers!F19*MAX(50,IF(Tiers!I19="",1,Tiers!I19)))),IF(Tiers!D19="flat",  IF(Inputs!$B$8="annual",IF(Tiers!G19="","",Tiers!G19/12),                            IF(Tiers!H19="","",Tiers!H19)),""))))))</f>
        <v/>
      </c>
      <c r="G22" s="17" t="str">
        <f aca="false">IF(Tiers!K19="yes","",IF(Model!F19=0,"",IF(Tiers!L19&lt;&gt;"public","",IF(AND(Tiers!J19&lt;&gt;"",100&gt;Tiers!J19),"",IF(Tiers!D19="per_seat",  IF(Inputs!$B$8="annual",IF(Tiers!E19="","",Tiers!E19*MAX(100,IF(Tiers!I19="",1,Tiers!I19))),                            IF(Tiers!F19="","",Tiers!F19*MAX(100,IF(Tiers!I19="",1,Tiers!I19)))),IF(Tiers!D19="flat",  IF(Inputs!$B$8="annual",IF(Tiers!G19="","",Tiers!G19/12),                            IF(Tiers!H19="","",Tiers!H19)),""))))))</f>
        <v/>
      </c>
      <c r="H22" s="17" t="str">
        <f aca="false">IF(Tiers!K19="yes","",IF(Model!F19=0,"",IF(Tiers!L19&lt;&gt;"public","",IF(AND(Tiers!J19&lt;&gt;"",250&gt;Tiers!J19),"",IF(Tiers!D19="per_seat",  IF(Inputs!$B$8="annual",IF(Tiers!E19="","",Tiers!E19*MAX(250,IF(Tiers!I19="",1,Tiers!I19))),                            IF(Tiers!F19="","",Tiers!F19*MAX(250,IF(Tiers!I19="",1,Tiers!I19)))),IF(Tiers!D19="flat",  IF(Inputs!$B$8="annual",IF(Tiers!G19="","",Tiers!G19/12),                            IF(Tiers!H19="","",Tiers!H19)),""))))))</f>
        <v/>
      </c>
    </row>
    <row r="23" customFormat="false" ht="15" hidden="false" customHeight="false" outlineLevel="0" collapsed="false">
      <c r="A23" s="18" t="str">
        <f aca="false">Tiers!A20</f>
        <v>Asana</v>
      </c>
      <c r="B23" s="18" t="str">
        <f aca="false">Tiers!B20</f>
        <v>Starter</v>
      </c>
      <c r="C23" s="15" t="n">
        <f aca="false">IF(Tiers!K20="yes","",IF(Model!F20=0,"",IF(Tiers!L20&lt;&gt;"public","",IF(AND(Tiers!J20&lt;&gt;"",5&gt;Tiers!J20),"",IF(Tiers!D20="per_seat",  IF(Inputs!$B$8="annual",IF(Tiers!E20="","",Tiers!E20*MAX(5,IF(Tiers!I20="",1,Tiers!I20))),                            IF(Tiers!F20="","",Tiers!F20*MAX(5,IF(Tiers!I20="",1,Tiers!I20)))),IF(Tiers!D20="flat",  IF(Inputs!$B$8="annual",IF(Tiers!G20="","",Tiers!G20/12),                            IF(Tiers!H20="","",Tiers!H20)),""))))))</f>
        <v>54.95</v>
      </c>
      <c r="D23" s="15" t="n">
        <f aca="false">IF(Tiers!K20="yes","",IF(Model!F20=0,"",IF(Tiers!L20&lt;&gt;"public","",IF(AND(Tiers!J20&lt;&gt;"",10&gt;Tiers!J20),"",IF(Tiers!D20="per_seat",  IF(Inputs!$B$8="annual",IF(Tiers!E20="","",Tiers!E20*MAX(10,IF(Tiers!I20="",1,Tiers!I20))),                            IF(Tiers!F20="","",Tiers!F20*MAX(10,IF(Tiers!I20="",1,Tiers!I20)))),IF(Tiers!D20="flat",  IF(Inputs!$B$8="annual",IF(Tiers!G20="","",Tiers!G20/12),                            IF(Tiers!H20="","",Tiers!H20)),""))))))</f>
        <v>109.9</v>
      </c>
      <c r="E23" s="15" t="n">
        <f aca="false">IF(Tiers!K20="yes","",IF(Model!F20=0,"",IF(Tiers!L20&lt;&gt;"public","",IF(AND(Tiers!J20&lt;&gt;"",25&gt;Tiers!J20),"",IF(Tiers!D20="per_seat",  IF(Inputs!$B$8="annual",IF(Tiers!E20="","",Tiers!E20*MAX(25,IF(Tiers!I20="",1,Tiers!I20))),                            IF(Tiers!F20="","",Tiers!F20*MAX(25,IF(Tiers!I20="",1,Tiers!I20)))),IF(Tiers!D20="flat",  IF(Inputs!$B$8="annual",IF(Tiers!G20="","",Tiers!G20/12),                            IF(Tiers!H20="","",Tiers!H20)),""))))))</f>
        <v>274.75</v>
      </c>
      <c r="F23" s="15" t="n">
        <f aca="false">IF(Tiers!K20="yes","",IF(Model!F20=0,"",IF(Tiers!L20&lt;&gt;"public","",IF(AND(Tiers!J20&lt;&gt;"",50&gt;Tiers!J20),"",IF(Tiers!D20="per_seat",  IF(Inputs!$B$8="annual",IF(Tiers!E20="","",Tiers!E20*MAX(50,IF(Tiers!I20="",1,Tiers!I20))),                            IF(Tiers!F20="","",Tiers!F20*MAX(50,IF(Tiers!I20="",1,Tiers!I20)))),IF(Tiers!D20="flat",  IF(Inputs!$B$8="annual",IF(Tiers!G20="","",Tiers!G20/12),                            IF(Tiers!H20="","",Tiers!H20)),""))))))</f>
        <v>549.5</v>
      </c>
      <c r="G23" s="15" t="n">
        <f aca="false">IF(Tiers!K20="yes","",IF(Model!F20=0,"",IF(Tiers!L20&lt;&gt;"public","",IF(AND(Tiers!J20&lt;&gt;"",100&gt;Tiers!J20),"",IF(Tiers!D20="per_seat",  IF(Inputs!$B$8="annual",IF(Tiers!E20="","",Tiers!E20*MAX(100,IF(Tiers!I20="",1,Tiers!I20))),                            IF(Tiers!F20="","",Tiers!F20*MAX(100,IF(Tiers!I20="",1,Tiers!I20)))),IF(Tiers!D20="flat",  IF(Inputs!$B$8="annual",IF(Tiers!G20="","",Tiers!G20/12),                            IF(Tiers!H20="","",Tiers!H20)),""))))))</f>
        <v>1099</v>
      </c>
      <c r="H23" s="15" t="n">
        <f aca="false">IF(Tiers!K20="yes","",IF(Model!F20=0,"",IF(Tiers!L20&lt;&gt;"public","",IF(AND(Tiers!J20&lt;&gt;"",250&gt;Tiers!J20),"",IF(Tiers!D20="per_seat",  IF(Inputs!$B$8="annual",IF(Tiers!E20="","",Tiers!E20*MAX(250,IF(Tiers!I20="",1,Tiers!I20))),                            IF(Tiers!F20="","",Tiers!F20*MAX(250,IF(Tiers!I20="",1,Tiers!I20)))),IF(Tiers!D20="flat",  IF(Inputs!$B$8="annual",IF(Tiers!G20="","",Tiers!G20/12),                            IF(Tiers!H20="","",Tiers!H20)),""))))))</f>
        <v>2747.5</v>
      </c>
    </row>
    <row r="24" customFormat="false" ht="15" hidden="false" customHeight="false" outlineLevel="0" collapsed="false">
      <c r="A24" s="20" t="str">
        <f aca="false">Tiers!A21</f>
        <v>Asana</v>
      </c>
      <c r="B24" s="20" t="str">
        <f aca="false">Tiers!B21</f>
        <v>Advanced</v>
      </c>
      <c r="C24" s="17" t="n">
        <f aca="false">IF(Tiers!K21="yes","",IF(Model!F21=0,"",IF(Tiers!L21&lt;&gt;"public","",IF(AND(Tiers!J21&lt;&gt;"",5&gt;Tiers!J21),"",IF(Tiers!D21="per_seat",  IF(Inputs!$B$8="annual",IF(Tiers!E21="","",Tiers!E21*MAX(5,IF(Tiers!I21="",1,Tiers!I21))),                            IF(Tiers!F21="","",Tiers!F21*MAX(5,IF(Tiers!I21="",1,Tiers!I21)))),IF(Tiers!D21="flat",  IF(Inputs!$B$8="annual",IF(Tiers!G21="","",Tiers!G21/12),                            IF(Tiers!H21="","",Tiers!H21)),""))))))</f>
        <v>124.95</v>
      </c>
      <c r="D24" s="17" t="n">
        <f aca="false">IF(Tiers!K21="yes","",IF(Model!F21=0,"",IF(Tiers!L21&lt;&gt;"public","",IF(AND(Tiers!J21&lt;&gt;"",10&gt;Tiers!J21),"",IF(Tiers!D21="per_seat",  IF(Inputs!$B$8="annual",IF(Tiers!E21="","",Tiers!E21*MAX(10,IF(Tiers!I21="",1,Tiers!I21))),                            IF(Tiers!F21="","",Tiers!F21*MAX(10,IF(Tiers!I21="",1,Tiers!I21)))),IF(Tiers!D21="flat",  IF(Inputs!$B$8="annual",IF(Tiers!G21="","",Tiers!G21/12),                            IF(Tiers!H21="","",Tiers!H21)),""))))))</f>
        <v>249.9</v>
      </c>
      <c r="E24" s="17" t="n">
        <f aca="false">IF(Tiers!K21="yes","",IF(Model!F21=0,"",IF(Tiers!L21&lt;&gt;"public","",IF(AND(Tiers!J21&lt;&gt;"",25&gt;Tiers!J21),"",IF(Tiers!D21="per_seat",  IF(Inputs!$B$8="annual",IF(Tiers!E21="","",Tiers!E21*MAX(25,IF(Tiers!I21="",1,Tiers!I21))),                            IF(Tiers!F21="","",Tiers!F21*MAX(25,IF(Tiers!I21="",1,Tiers!I21)))),IF(Tiers!D21="flat",  IF(Inputs!$B$8="annual",IF(Tiers!G21="","",Tiers!G21/12),                            IF(Tiers!H21="","",Tiers!H21)),""))))))</f>
        <v>624.75</v>
      </c>
      <c r="F24" s="17" t="n">
        <f aca="false">IF(Tiers!K21="yes","",IF(Model!F21=0,"",IF(Tiers!L21&lt;&gt;"public","",IF(AND(Tiers!J21&lt;&gt;"",50&gt;Tiers!J21),"",IF(Tiers!D21="per_seat",  IF(Inputs!$B$8="annual",IF(Tiers!E21="","",Tiers!E21*MAX(50,IF(Tiers!I21="",1,Tiers!I21))),                            IF(Tiers!F21="","",Tiers!F21*MAX(50,IF(Tiers!I21="",1,Tiers!I21)))),IF(Tiers!D21="flat",  IF(Inputs!$B$8="annual",IF(Tiers!G21="","",Tiers!G21/12),                            IF(Tiers!H21="","",Tiers!H21)),""))))))</f>
        <v>1249.5</v>
      </c>
      <c r="G24" s="17" t="n">
        <f aca="false">IF(Tiers!K21="yes","",IF(Model!F21=0,"",IF(Tiers!L21&lt;&gt;"public","",IF(AND(Tiers!J21&lt;&gt;"",100&gt;Tiers!J21),"",IF(Tiers!D21="per_seat",  IF(Inputs!$B$8="annual",IF(Tiers!E21="","",Tiers!E21*MAX(100,IF(Tiers!I21="",1,Tiers!I21))),                            IF(Tiers!F21="","",Tiers!F21*MAX(100,IF(Tiers!I21="",1,Tiers!I21)))),IF(Tiers!D21="flat",  IF(Inputs!$B$8="annual",IF(Tiers!G21="","",Tiers!G21/12),                            IF(Tiers!H21="","",Tiers!H21)),""))))))</f>
        <v>2499</v>
      </c>
      <c r="H24" s="17" t="n">
        <f aca="false">IF(Tiers!K21="yes","",IF(Model!F21=0,"",IF(Tiers!L21&lt;&gt;"public","",IF(AND(Tiers!J21&lt;&gt;"",250&gt;Tiers!J21),"",IF(Tiers!D21="per_seat",  IF(Inputs!$B$8="annual",IF(Tiers!E21="","",Tiers!E21*MAX(250,IF(Tiers!I21="",1,Tiers!I21))),                            IF(Tiers!F21="","",Tiers!F21*MAX(250,IF(Tiers!I21="",1,Tiers!I21)))),IF(Tiers!D21="flat",  IF(Inputs!$B$8="annual",IF(Tiers!G21="","",Tiers!G21/12),                            IF(Tiers!H21="","",Tiers!H21)),""))))))</f>
        <v>6247.5</v>
      </c>
    </row>
    <row r="25" customFormat="false" ht="15" hidden="false" customHeight="false" outlineLevel="0" collapsed="false">
      <c r="A25" s="18" t="str">
        <f aca="false">Tiers!A22</f>
        <v>Asana</v>
      </c>
      <c r="B25" s="18" t="str">
        <f aca="false">Tiers!B22</f>
        <v>Enterprise</v>
      </c>
      <c r="C25" s="15" t="str">
        <f aca="false">IF(Tiers!K22="yes","",IF(Model!F22=0,"",IF(Tiers!L22&lt;&gt;"public","",IF(AND(Tiers!J22&lt;&gt;"",5&gt;Tiers!J22),"",IF(Tiers!D22="per_seat",  IF(Inputs!$B$8="annual",IF(Tiers!E22="","",Tiers!E22*MAX(5,IF(Tiers!I22="",1,Tiers!I22))),                            IF(Tiers!F22="","",Tiers!F22*MAX(5,IF(Tiers!I22="",1,Tiers!I22)))),IF(Tiers!D22="flat",  IF(Inputs!$B$8="annual",IF(Tiers!G22="","",Tiers!G22/12),                            IF(Tiers!H22="","",Tiers!H22)),""))))))</f>
        <v/>
      </c>
      <c r="D25" s="15" t="str">
        <f aca="false">IF(Tiers!K22="yes","",IF(Model!F22=0,"",IF(Tiers!L22&lt;&gt;"public","",IF(AND(Tiers!J22&lt;&gt;"",10&gt;Tiers!J22),"",IF(Tiers!D22="per_seat",  IF(Inputs!$B$8="annual",IF(Tiers!E22="","",Tiers!E22*MAX(10,IF(Tiers!I22="",1,Tiers!I22))),                            IF(Tiers!F22="","",Tiers!F22*MAX(10,IF(Tiers!I22="",1,Tiers!I22)))),IF(Tiers!D22="flat",  IF(Inputs!$B$8="annual",IF(Tiers!G22="","",Tiers!G22/12),                            IF(Tiers!H22="","",Tiers!H22)),""))))))</f>
        <v/>
      </c>
      <c r="E25" s="15" t="str">
        <f aca="false">IF(Tiers!K22="yes","",IF(Model!F22=0,"",IF(Tiers!L22&lt;&gt;"public","",IF(AND(Tiers!J22&lt;&gt;"",25&gt;Tiers!J22),"",IF(Tiers!D22="per_seat",  IF(Inputs!$B$8="annual",IF(Tiers!E22="","",Tiers!E22*MAX(25,IF(Tiers!I22="",1,Tiers!I22))),                            IF(Tiers!F22="","",Tiers!F22*MAX(25,IF(Tiers!I22="",1,Tiers!I22)))),IF(Tiers!D22="flat",  IF(Inputs!$B$8="annual",IF(Tiers!G22="","",Tiers!G22/12),                            IF(Tiers!H22="","",Tiers!H22)),""))))))</f>
        <v/>
      </c>
      <c r="F25" s="15" t="str">
        <f aca="false">IF(Tiers!K22="yes","",IF(Model!F22=0,"",IF(Tiers!L22&lt;&gt;"public","",IF(AND(Tiers!J22&lt;&gt;"",50&gt;Tiers!J22),"",IF(Tiers!D22="per_seat",  IF(Inputs!$B$8="annual",IF(Tiers!E22="","",Tiers!E22*MAX(50,IF(Tiers!I22="",1,Tiers!I22))),                            IF(Tiers!F22="","",Tiers!F22*MAX(50,IF(Tiers!I22="",1,Tiers!I22)))),IF(Tiers!D22="flat",  IF(Inputs!$B$8="annual",IF(Tiers!G22="","",Tiers!G22/12),                            IF(Tiers!H22="","",Tiers!H22)),""))))))</f>
        <v/>
      </c>
      <c r="G25" s="15" t="str">
        <f aca="false">IF(Tiers!K22="yes","",IF(Model!F22=0,"",IF(Tiers!L22&lt;&gt;"public","",IF(AND(Tiers!J22&lt;&gt;"",100&gt;Tiers!J22),"",IF(Tiers!D22="per_seat",  IF(Inputs!$B$8="annual",IF(Tiers!E22="","",Tiers!E22*MAX(100,IF(Tiers!I22="",1,Tiers!I22))),                            IF(Tiers!F22="","",Tiers!F22*MAX(100,IF(Tiers!I22="",1,Tiers!I22)))),IF(Tiers!D22="flat",  IF(Inputs!$B$8="annual",IF(Tiers!G22="","",Tiers!G22/12),                            IF(Tiers!H22="","",Tiers!H22)),""))))))</f>
        <v/>
      </c>
      <c r="H25" s="15" t="str">
        <f aca="false">IF(Tiers!K22="yes","",IF(Model!F22=0,"",IF(Tiers!L22&lt;&gt;"public","",IF(AND(Tiers!J22&lt;&gt;"",250&gt;Tiers!J22),"",IF(Tiers!D22="per_seat",  IF(Inputs!$B$8="annual",IF(Tiers!E22="","",Tiers!E22*MAX(250,IF(Tiers!I22="",1,Tiers!I22))),                            IF(Tiers!F22="","",Tiers!F22*MAX(250,IF(Tiers!I22="",1,Tiers!I22)))),IF(Tiers!D22="flat",  IF(Inputs!$B$8="annual",IF(Tiers!G22="","",Tiers!G22/12),                            IF(Tiers!H22="","",Tiers!H22)),""))))))</f>
        <v/>
      </c>
    </row>
    <row r="26" customFormat="false" ht="15" hidden="false" customHeight="false" outlineLevel="0" collapsed="false">
      <c r="A26" s="20" t="str">
        <f aca="false">Tiers!A23</f>
        <v>Notion</v>
      </c>
      <c r="B26" s="20" t="str">
        <f aca="false">Tiers!B23</f>
        <v>Free</v>
      </c>
      <c r="C26" s="17" t="str">
        <f aca="false">IF(Tiers!K23="yes","",IF(Model!F23=0,"",IF(Tiers!L23&lt;&gt;"public","",IF(AND(Tiers!J23&lt;&gt;"",5&gt;Tiers!J23),"",IF(Tiers!D23="per_seat",  IF(Inputs!$B$8="annual",IF(Tiers!E23="","",Tiers!E23*MAX(5,IF(Tiers!I23="",1,Tiers!I23))),                            IF(Tiers!F23="","",Tiers!F23*MAX(5,IF(Tiers!I23="",1,Tiers!I23)))),IF(Tiers!D23="flat",  IF(Inputs!$B$8="annual",IF(Tiers!G23="","",Tiers!G23/12),                            IF(Tiers!H23="","",Tiers!H23)),""))))))</f>
        <v/>
      </c>
      <c r="D26" s="17" t="str">
        <f aca="false">IF(Tiers!K23="yes","",IF(Model!F23=0,"",IF(Tiers!L23&lt;&gt;"public","",IF(AND(Tiers!J23&lt;&gt;"",10&gt;Tiers!J23),"",IF(Tiers!D23="per_seat",  IF(Inputs!$B$8="annual",IF(Tiers!E23="","",Tiers!E23*MAX(10,IF(Tiers!I23="",1,Tiers!I23))),                            IF(Tiers!F23="","",Tiers!F23*MAX(10,IF(Tiers!I23="",1,Tiers!I23)))),IF(Tiers!D23="flat",  IF(Inputs!$B$8="annual",IF(Tiers!G23="","",Tiers!G23/12),                            IF(Tiers!H23="","",Tiers!H23)),""))))))</f>
        <v/>
      </c>
      <c r="E26" s="17" t="str">
        <f aca="false">IF(Tiers!K23="yes","",IF(Model!F23=0,"",IF(Tiers!L23&lt;&gt;"public","",IF(AND(Tiers!J23&lt;&gt;"",25&gt;Tiers!J23),"",IF(Tiers!D23="per_seat",  IF(Inputs!$B$8="annual",IF(Tiers!E23="","",Tiers!E23*MAX(25,IF(Tiers!I23="",1,Tiers!I23))),                            IF(Tiers!F23="","",Tiers!F23*MAX(25,IF(Tiers!I23="",1,Tiers!I23)))),IF(Tiers!D23="flat",  IF(Inputs!$B$8="annual",IF(Tiers!G23="","",Tiers!G23/12),                            IF(Tiers!H23="","",Tiers!H23)),""))))))</f>
        <v/>
      </c>
      <c r="F26" s="17" t="str">
        <f aca="false">IF(Tiers!K23="yes","",IF(Model!F23=0,"",IF(Tiers!L23&lt;&gt;"public","",IF(AND(Tiers!J23&lt;&gt;"",50&gt;Tiers!J23),"",IF(Tiers!D23="per_seat",  IF(Inputs!$B$8="annual",IF(Tiers!E23="","",Tiers!E23*MAX(50,IF(Tiers!I23="",1,Tiers!I23))),                            IF(Tiers!F23="","",Tiers!F23*MAX(50,IF(Tiers!I23="",1,Tiers!I23)))),IF(Tiers!D23="flat",  IF(Inputs!$B$8="annual",IF(Tiers!G23="","",Tiers!G23/12),                            IF(Tiers!H23="","",Tiers!H23)),""))))))</f>
        <v/>
      </c>
      <c r="G26" s="17" t="str">
        <f aca="false">IF(Tiers!K23="yes","",IF(Model!F23=0,"",IF(Tiers!L23&lt;&gt;"public","",IF(AND(Tiers!J23&lt;&gt;"",100&gt;Tiers!J23),"",IF(Tiers!D23="per_seat",  IF(Inputs!$B$8="annual",IF(Tiers!E23="","",Tiers!E23*MAX(100,IF(Tiers!I23="",1,Tiers!I23))),                            IF(Tiers!F23="","",Tiers!F23*MAX(100,IF(Tiers!I23="",1,Tiers!I23)))),IF(Tiers!D23="flat",  IF(Inputs!$B$8="annual",IF(Tiers!G23="","",Tiers!G23/12),                            IF(Tiers!H23="","",Tiers!H23)),""))))))</f>
        <v/>
      </c>
      <c r="H26" s="17" t="str">
        <f aca="false">IF(Tiers!K23="yes","",IF(Model!F23=0,"",IF(Tiers!L23&lt;&gt;"public","",IF(AND(Tiers!J23&lt;&gt;"",250&gt;Tiers!J23),"",IF(Tiers!D23="per_seat",  IF(Inputs!$B$8="annual",IF(Tiers!E23="","",Tiers!E23*MAX(250,IF(Tiers!I23="",1,Tiers!I23))),                            IF(Tiers!F23="","",Tiers!F23*MAX(250,IF(Tiers!I23="",1,Tiers!I23)))),IF(Tiers!D23="flat",  IF(Inputs!$B$8="annual",IF(Tiers!G23="","",Tiers!G23/12),                            IF(Tiers!H23="","",Tiers!H23)),""))))))</f>
        <v/>
      </c>
    </row>
    <row r="27" customFormat="false" ht="15" hidden="false" customHeight="false" outlineLevel="0" collapsed="false">
      <c r="A27" s="18" t="str">
        <f aca="false">Tiers!A24</f>
        <v>Notion</v>
      </c>
      <c r="B27" s="18" t="str">
        <f aca="false">Tiers!B24</f>
        <v>Plus</v>
      </c>
      <c r="C27" s="15" t="n">
        <f aca="false">IF(Tiers!K24="yes","",IF(Model!F24=0,"",IF(Tiers!L24&lt;&gt;"public","",IF(AND(Tiers!J24&lt;&gt;"",5&gt;Tiers!J24),"",IF(Tiers!D24="per_seat",  IF(Inputs!$B$8="annual",IF(Tiers!E24="","",Tiers!E24*MAX(5,IF(Tiers!I24="",1,Tiers!I24))),                            IF(Tiers!F24="","",Tiers!F24*MAX(5,IF(Tiers!I24="",1,Tiers!I24)))),IF(Tiers!D24="flat",  IF(Inputs!$B$8="annual",IF(Tiers!G24="","",Tiers!G24/12),                            IF(Tiers!H24="","",Tiers!H24)),""))))))</f>
        <v>50</v>
      </c>
      <c r="D27" s="15" t="n">
        <f aca="false">IF(Tiers!K24="yes","",IF(Model!F24=0,"",IF(Tiers!L24&lt;&gt;"public","",IF(AND(Tiers!J24&lt;&gt;"",10&gt;Tiers!J24),"",IF(Tiers!D24="per_seat",  IF(Inputs!$B$8="annual",IF(Tiers!E24="","",Tiers!E24*MAX(10,IF(Tiers!I24="",1,Tiers!I24))),                            IF(Tiers!F24="","",Tiers!F24*MAX(10,IF(Tiers!I24="",1,Tiers!I24)))),IF(Tiers!D24="flat",  IF(Inputs!$B$8="annual",IF(Tiers!G24="","",Tiers!G24/12),                            IF(Tiers!H24="","",Tiers!H24)),""))))))</f>
        <v>100</v>
      </c>
      <c r="E27" s="15" t="n">
        <f aca="false">IF(Tiers!K24="yes","",IF(Model!F24=0,"",IF(Tiers!L24&lt;&gt;"public","",IF(AND(Tiers!J24&lt;&gt;"",25&gt;Tiers!J24),"",IF(Tiers!D24="per_seat",  IF(Inputs!$B$8="annual",IF(Tiers!E24="","",Tiers!E24*MAX(25,IF(Tiers!I24="",1,Tiers!I24))),                            IF(Tiers!F24="","",Tiers!F24*MAX(25,IF(Tiers!I24="",1,Tiers!I24)))),IF(Tiers!D24="flat",  IF(Inputs!$B$8="annual",IF(Tiers!G24="","",Tiers!G24/12),                            IF(Tiers!H24="","",Tiers!H24)),""))))))</f>
        <v>250</v>
      </c>
      <c r="F27" s="15" t="n">
        <f aca="false">IF(Tiers!K24="yes","",IF(Model!F24=0,"",IF(Tiers!L24&lt;&gt;"public","",IF(AND(Tiers!J24&lt;&gt;"",50&gt;Tiers!J24),"",IF(Tiers!D24="per_seat",  IF(Inputs!$B$8="annual",IF(Tiers!E24="","",Tiers!E24*MAX(50,IF(Tiers!I24="",1,Tiers!I24))),                            IF(Tiers!F24="","",Tiers!F24*MAX(50,IF(Tiers!I24="",1,Tiers!I24)))),IF(Tiers!D24="flat",  IF(Inputs!$B$8="annual",IF(Tiers!G24="","",Tiers!G24/12),                            IF(Tiers!H24="","",Tiers!H24)),""))))))</f>
        <v>500</v>
      </c>
      <c r="G27" s="15" t="n">
        <f aca="false">IF(Tiers!K24="yes","",IF(Model!F24=0,"",IF(Tiers!L24&lt;&gt;"public","",IF(AND(Tiers!J24&lt;&gt;"",100&gt;Tiers!J24),"",IF(Tiers!D24="per_seat",  IF(Inputs!$B$8="annual",IF(Tiers!E24="","",Tiers!E24*MAX(100,IF(Tiers!I24="",1,Tiers!I24))),                            IF(Tiers!F24="","",Tiers!F24*MAX(100,IF(Tiers!I24="",1,Tiers!I24)))),IF(Tiers!D24="flat",  IF(Inputs!$B$8="annual",IF(Tiers!G24="","",Tiers!G24/12),                            IF(Tiers!H24="","",Tiers!H24)),""))))))</f>
        <v>1000</v>
      </c>
      <c r="H27" s="15" t="n">
        <f aca="false">IF(Tiers!K24="yes","",IF(Model!F24=0,"",IF(Tiers!L24&lt;&gt;"public","",IF(AND(Tiers!J24&lt;&gt;"",250&gt;Tiers!J24),"",IF(Tiers!D24="per_seat",  IF(Inputs!$B$8="annual",IF(Tiers!E24="","",Tiers!E24*MAX(250,IF(Tiers!I24="",1,Tiers!I24))),                            IF(Tiers!F24="","",Tiers!F24*MAX(250,IF(Tiers!I24="",1,Tiers!I24)))),IF(Tiers!D24="flat",  IF(Inputs!$B$8="annual",IF(Tiers!G24="","",Tiers!G24/12),                            IF(Tiers!H24="","",Tiers!H24)),""))))))</f>
        <v>2500</v>
      </c>
    </row>
    <row r="28" customFormat="false" ht="15" hidden="false" customHeight="false" outlineLevel="0" collapsed="false">
      <c r="A28" s="20" t="str">
        <f aca="false">Tiers!A25</f>
        <v>Notion</v>
      </c>
      <c r="B28" s="20" t="str">
        <f aca="false">Tiers!B25</f>
        <v>Business</v>
      </c>
      <c r="C28" s="17" t="n">
        <f aca="false">IF(Tiers!K25="yes","",IF(Model!F25=0,"",IF(Tiers!L25&lt;&gt;"public","",IF(AND(Tiers!J25&lt;&gt;"",5&gt;Tiers!J25),"",IF(Tiers!D25="per_seat",  IF(Inputs!$B$8="annual",IF(Tiers!E25="","",Tiers!E25*MAX(5,IF(Tiers!I25="",1,Tiers!I25))),                            IF(Tiers!F25="","",Tiers!F25*MAX(5,IF(Tiers!I25="",1,Tiers!I25)))),IF(Tiers!D25="flat",  IF(Inputs!$B$8="annual",IF(Tiers!G25="","",Tiers!G25/12),                            IF(Tiers!H25="","",Tiers!H25)),""))))))</f>
        <v>100</v>
      </c>
      <c r="D28" s="17" t="n">
        <f aca="false">IF(Tiers!K25="yes","",IF(Model!F25=0,"",IF(Tiers!L25&lt;&gt;"public","",IF(AND(Tiers!J25&lt;&gt;"",10&gt;Tiers!J25),"",IF(Tiers!D25="per_seat",  IF(Inputs!$B$8="annual",IF(Tiers!E25="","",Tiers!E25*MAX(10,IF(Tiers!I25="",1,Tiers!I25))),                            IF(Tiers!F25="","",Tiers!F25*MAX(10,IF(Tiers!I25="",1,Tiers!I25)))),IF(Tiers!D25="flat",  IF(Inputs!$B$8="annual",IF(Tiers!G25="","",Tiers!G25/12),                            IF(Tiers!H25="","",Tiers!H25)),""))))))</f>
        <v>200</v>
      </c>
      <c r="E28" s="17" t="n">
        <f aca="false">IF(Tiers!K25="yes","",IF(Model!F25=0,"",IF(Tiers!L25&lt;&gt;"public","",IF(AND(Tiers!J25&lt;&gt;"",25&gt;Tiers!J25),"",IF(Tiers!D25="per_seat",  IF(Inputs!$B$8="annual",IF(Tiers!E25="","",Tiers!E25*MAX(25,IF(Tiers!I25="",1,Tiers!I25))),                            IF(Tiers!F25="","",Tiers!F25*MAX(25,IF(Tiers!I25="",1,Tiers!I25)))),IF(Tiers!D25="flat",  IF(Inputs!$B$8="annual",IF(Tiers!G25="","",Tiers!G25/12),                            IF(Tiers!H25="","",Tiers!H25)),""))))))</f>
        <v>500</v>
      </c>
      <c r="F28" s="17" t="n">
        <f aca="false">IF(Tiers!K25="yes","",IF(Model!F25=0,"",IF(Tiers!L25&lt;&gt;"public","",IF(AND(Tiers!J25&lt;&gt;"",50&gt;Tiers!J25),"",IF(Tiers!D25="per_seat",  IF(Inputs!$B$8="annual",IF(Tiers!E25="","",Tiers!E25*MAX(50,IF(Tiers!I25="",1,Tiers!I25))),                            IF(Tiers!F25="","",Tiers!F25*MAX(50,IF(Tiers!I25="",1,Tiers!I25)))),IF(Tiers!D25="flat",  IF(Inputs!$B$8="annual",IF(Tiers!G25="","",Tiers!G25/12),                            IF(Tiers!H25="","",Tiers!H25)),""))))))</f>
        <v>1000</v>
      </c>
      <c r="G28" s="17" t="n">
        <f aca="false">IF(Tiers!K25="yes","",IF(Model!F25=0,"",IF(Tiers!L25&lt;&gt;"public","",IF(AND(Tiers!J25&lt;&gt;"",100&gt;Tiers!J25),"",IF(Tiers!D25="per_seat",  IF(Inputs!$B$8="annual",IF(Tiers!E25="","",Tiers!E25*MAX(100,IF(Tiers!I25="",1,Tiers!I25))),                            IF(Tiers!F25="","",Tiers!F25*MAX(100,IF(Tiers!I25="",1,Tiers!I25)))),IF(Tiers!D25="flat",  IF(Inputs!$B$8="annual",IF(Tiers!G25="","",Tiers!G25/12),                            IF(Tiers!H25="","",Tiers!H25)),""))))))</f>
        <v>2000</v>
      </c>
      <c r="H28" s="17" t="n">
        <f aca="false">IF(Tiers!K25="yes","",IF(Model!F25=0,"",IF(Tiers!L25&lt;&gt;"public","",IF(AND(Tiers!J25&lt;&gt;"",250&gt;Tiers!J25),"",IF(Tiers!D25="per_seat",  IF(Inputs!$B$8="annual",IF(Tiers!E25="","",Tiers!E25*MAX(250,IF(Tiers!I25="",1,Tiers!I25))),                            IF(Tiers!F25="","",Tiers!F25*MAX(250,IF(Tiers!I25="",1,Tiers!I25)))),IF(Tiers!D25="flat",  IF(Inputs!$B$8="annual",IF(Tiers!G25="","",Tiers!G25/12),                            IF(Tiers!H25="","",Tiers!H25)),""))))))</f>
        <v>5000</v>
      </c>
    </row>
    <row r="29" customFormat="false" ht="15" hidden="false" customHeight="false" outlineLevel="0" collapsed="false">
      <c r="A29" s="18" t="str">
        <f aca="false">Tiers!A26</f>
        <v>Notion</v>
      </c>
      <c r="B29" s="18" t="str">
        <f aca="false">Tiers!B26</f>
        <v>Enterprise</v>
      </c>
      <c r="C29" s="15" t="str">
        <f aca="false">IF(Tiers!K26="yes","",IF(Model!F26=0,"",IF(Tiers!L26&lt;&gt;"public","",IF(AND(Tiers!J26&lt;&gt;"",5&gt;Tiers!J26),"",IF(Tiers!D26="per_seat",  IF(Inputs!$B$8="annual",IF(Tiers!E26="","",Tiers!E26*MAX(5,IF(Tiers!I26="",1,Tiers!I26))),                            IF(Tiers!F26="","",Tiers!F26*MAX(5,IF(Tiers!I26="",1,Tiers!I26)))),IF(Tiers!D26="flat",  IF(Inputs!$B$8="annual",IF(Tiers!G26="","",Tiers!G26/12),                            IF(Tiers!H26="","",Tiers!H26)),""))))))</f>
        <v/>
      </c>
      <c r="D29" s="15" t="str">
        <f aca="false">IF(Tiers!K26="yes","",IF(Model!F26=0,"",IF(Tiers!L26&lt;&gt;"public","",IF(AND(Tiers!J26&lt;&gt;"",10&gt;Tiers!J26),"",IF(Tiers!D26="per_seat",  IF(Inputs!$B$8="annual",IF(Tiers!E26="","",Tiers!E26*MAX(10,IF(Tiers!I26="",1,Tiers!I26))),                            IF(Tiers!F26="","",Tiers!F26*MAX(10,IF(Tiers!I26="",1,Tiers!I26)))),IF(Tiers!D26="flat",  IF(Inputs!$B$8="annual",IF(Tiers!G26="","",Tiers!G26/12),                            IF(Tiers!H26="","",Tiers!H26)),""))))))</f>
        <v/>
      </c>
      <c r="E29" s="15" t="str">
        <f aca="false">IF(Tiers!K26="yes","",IF(Model!F26=0,"",IF(Tiers!L26&lt;&gt;"public","",IF(AND(Tiers!J26&lt;&gt;"",25&gt;Tiers!J26),"",IF(Tiers!D26="per_seat",  IF(Inputs!$B$8="annual",IF(Tiers!E26="","",Tiers!E26*MAX(25,IF(Tiers!I26="",1,Tiers!I26))),                            IF(Tiers!F26="","",Tiers!F26*MAX(25,IF(Tiers!I26="",1,Tiers!I26)))),IF(Tiers!D26="flat",  IF(Inputs!$B$8="annual",IF(Tiers!G26="","",Tiers!G26/12),                            IF(Tiers!H26="","",Tiers!H26)),""))))))</f>
        <v/>
      </c>
      <c r="F29" s="15" t="str">
        <f aca="false">IF(Tiers!K26="yes","",IF(Model!F26=0,"",IF(Tiers!L26&lt;&gt;"public","",IF(AND(Tiers!J26&lt;&gt;"",50&gt;Tiers!J26),"",IF(Tiers!D26="per_seat",  IF(Inputs!$B$8="annual",IF(Tiers!E26="","",Tiers!E26*MAX(50,IF(Tiers!I26="",1,Tiers!I26))),                            IF(Tiers!F26="","",Tiers!F26*MAX(50,IF(Tiers!I26="",1,Tiers!I26)))),IF(Tiers!D26="flat",  IF(Inputs!$B$8="annual",IF(Tiers!G26="","",Tiers!G26/12),                            IF(Tiers!H26="","",Tiers!H26)),""))))))</f>
        <v/>
      </c>
      <c r="G29" s="15" t="str">
        <f aca="false">IF(Tiers!K26="yes","",IF(Model!F26=0,"",IF(Tiers!L26&lt;&gt;"public","",IF(AND(Tiers!J26&lt;&gt;"",100&gt;Tiers!J26),"",IF(Tiers!D26="per_seat",  IF(Inputs!$B$8="annual",IF(Tiers!E26="","",Tiers!E26*MAX(100,IF(Tiers!I26="",1,Tiers!I26))),                            IF(Tiers!F26="","",Tiers!F26*MAX(100,IF(Tiers!I26="",1,Tiers!I26)))),IF(Tiers!D26="flat",  IF(Inputs!$B$8="annual",IF(Tiers!G26="","",Tiers!G26/12),                            IF(Tiers!H26="","",Tiers!H26)),""))))))</f>
        <v/>
      </c>
      <c r="H29" s="15" t="str">
        <f aca="false">IF(Tiers!K26="yes","",IF(Model!F26=0,"",IF(Tiers!L26&lt;&gt;"public","",IF(AND(Tiers!J26&lt;&gt;"",250&gt;Tiers!J26),"",IF(Tiers!D26="per_seat",  IF(Inputs!$B$8="annual",IF(Tiers!E26="","",Tiers!E26*MAX(250,IF(Tiers!I26="",1,Tiers!I26))),                            IF(Tiers!F26="","",Tiers!F26*MAX(250,IF(Tiers!I26="",1,Tiers!I26)))),IF(Tiers!D26="flat",  IF(Inputs!$B$8="annual",IF(Tiers!G26="","",Tiers!G26/12),                            IF(Tiers!H26="","",Tiers!H26)),""))))))</f>
        <v/>
      </c>
    </row>
    <row r="30" customFormat="false" ht="15" hidden="false" customHeight="false" outlineLevel="0" collapsed="false">
      <c r="A30" s="20" t="str">
        <f aca="false">Tiers!A27</f>
        <v>Jira</v>
      </c>
      <c r="B30" s="20" t="str">
        <f aca="false">Tiers!B27</f>
        <v>Free</v>
      </c>
      <c r="C30" s="17" t="str">
        <f aca="false">IF(Tiers!K27="yes","",IF(Model!F27=0,"",IF(Tiers!L27&lt;&gt;"public","",IF(AND(Tiers!J27&lt;&gt;"",5&gt;Tiers!J27),"",IF(Tiers!D27="per_seat",  IF(Inputs!$B$8="annual",IF(Tiers!E27="","",Tiers!E27*MAX(5,IF(Tiers!I27="",1,Tiers!I27))),                            IF(Tiers!F27="","",Tiers!F27*MAX(5,IF(Tiers!I27="",1,Tiers!I27)))),IF(Tiers!D27="flat",  IF(Inputs!$B$8="annual",IF(Tiers!G27="","",Tiers!G27/12),                            IF(Tiers!H27="","",Tiers!H27)),""))))))</f>
        <v/>
      </c>
      <c r="D30" s="17" t="str">
        <f aca="false">IF(Tiers!K27="yes","",IF(Model!F27=0,"",IF(Tiers!L27&lt;&gt;"public","",IF(AND(Tiers!J27&lt;&gt;"",10&gt;Tiers!J27),"",IF(Tiers!D27="per_seat",  IF(Inputs!$B$8="annual",IF(Tiers!E27="","",Tiers!E27*MAX(10,IF(Tiers!I27="",1,Tiers!I27))),                            IF(Tiers!F27="","",Tiers!F27*MAX(10,IF(Tiers!I27="",1,Tiers!I27)))),IF(Tiers!D27="flat",  IF(Inputs!$B$8="annual",IF(Tiers!G27="","",Tiers!G27/12),                            IF(Tiers!H27="","",Tiers!H27)),""))))))</f>
        <v/>
      </c>
      <c r="E30" s="17" t="str">
        <f aca="false">IF(Tiers!K27="yes","",IF(Model!F27=0,"",IF(Tiers!L27&lt;&gt;"public","",IF(AND(Tiers!J27&lt;&gt;"",25&gt;Tiers!J27),"",IF(Tiers!D27="per_seat",  IF(Inputs!$B$8="annual",IF(Tiers!E27="","",Tiers!E27*MAX(25,IF(Tiers!I27="",1,Tiers!I27))),                            IF(Tiers!F27="","",Tiers!F27*MAX(25,IF(Tiers!I27="",1,Tiers!I27)))),IF(Tiers!D27="flat",  IF(Inputs!$B$8="annual",IF(Tiers!G27="","",Tiers!G27/12),                            IF(Tiers!H27="","",Tiers!H27)),""))))))</f>
        <v/>
      </c>
      <c r="F30" s="17" t="str">
        <f aca="false">IF(Tiers!K27="yes","",IF(Model!F27=0,"",IF(Tiers!L27&lt;&gt;"public","",IF(AND(Tiers!J27&lt;&gt;"",50&gt;Tiers!J27),"",IF(Tiers!D27="per_seat",  IF(Inputs!$B$8="annual",IF(Tiers!E27="","",Tiers!E27*MAX(50,IF(Tiers!I27="",1,Tiers!I27))),                            IF(Tiers!F27="","",Tiers!F27*MAX(50,IF(Tiers!I27="",1,Tiers!I27)))),IF(Tiers!D27="flat",  IF(Inputs!$B$8="annual",IF(Tiers!G27="","",Tiers!G27/12),                            IF(Tiers!H27="","",Tiers!H27)),""))))))</f>
        <v/>
      </c>
      <c r="G30" s="17" t="str">
        <f aca="false">IF(Tiers!K27="yes","",IF(Model!F27=0,"",IF(Tiers!L27&lt;&gt;"public","",IF(AND(Tiers!J27&lt;&gt;"",100&gt;Tiers!J27),"",IF(Tiers!D27="per_seat",  IF(Inputs!$B$8="annual",IF(Tiers!E27="","",Tiers!E27*MAX(100,IF(Tiers!I27="",1,Tiers!I27))),                            IF(Tiers!F27="","",Tiers!F27*MAX(100,IF(Tiers!I27="",1,Tiers!I27)))),IF(Tiers!D27="flat",  IF(Inputs!$B$8="annual",IF(Tiers!G27="","",Tiers!G27/12),                            IF(Tiers!H27="","",Tiers!H27)),""))))))</f>
        <v/>
      </c>
      <c r="H30" s="17" t="str">
        <f aca="false">IF(Tiers!K27="yes","",IF(Model!F27=0,"",IF(Tiers!L27&lt;&gt;"public","",IF(AND(Tiers!J27&lt;&gt;"",250&gt;Tiers!J27),"",IF(Tiers!D27="per_seat",  IF(Inputs!$B$8="annual",IF(Tiers!E27="","",Tiers!E27*MAX(250,IF(Tiers!I27="",1,Tiers!I27))),                            IF(Tiers!F27="","",Tiers!F27*MAX(250,IF(Tiers!I27="",1,Tiers!I27)))),IF(Tiers!D27="flat",  IF(Inputs!$B$8="annual",IF(Tiers!G27="","",Tiers!G27/12),                            IF(Tiers!H27="","",Tiers!H27)),""))))))</f>
        <v/>
      </c>
    </row>
    <row r="31" customFormat="false" ht="15" hidden="false" customHeight="false" outlineLevel="0" collapsed="false">
      <c r="A31" s="18" t="str">
        <f aca="false">Tiers!A28</f>
        <v>Jira</v>
      </c>
      <c r="B31" s="18" t="str">
        <f aca="false">Tiers!B28</f>
        <v>Standard</v>
      </c>
      <c r="C31" s="15" t="n">
        <f aca="false">IF(Tiers!K28="yes","",IF(Model!F28=0,"",IF(Tiers!L28&lt;&gt;"public","",IF(AND(Tiers!J28&lt;&gt;"",5&gt;Tiers!J28),"",IF(Tiers!D28="per_seat",  IF(Inputs!$B$8="annual",IF(Tiers!E28="","",Tiers!E28*MAX(5,IF(Tiers!I28="",1,Tiers!I28))),                            IF(Tiers!F28="","",Tiers!F28*MAX(5,IF(Tiers!I28="",1,Tiers!I28)))),IF(Tiers!D28="flat",  IF(Inputs!$B$8="annual",IF(Tiers!G28="","",Tiers!G28/12),                            IF(Tiers!H28="","",Tiers!H28)),""))))))</f>
        <v>37.5</v>
      </c>
      <c r="D31" s="15" t="n">
        <f aca="false">IF(Tiers!K28="yes","",IF(Model!F28=0,"",IF(Tiers!L28&lt;&gt;"public","",IF(AND(Tiers!J28&lt;&gt;"",10&gt;Tiers!J28),"",IF(Tiers!D28="per_seat",  IF(Inputs!$B$8="annual",IF(Tiers!E28="","",Tiers!E28*MAX(10,IF(Tiers!I28="",1,Tiers!I28))),                            IF(Tiers!F28="","",Tiers!F28*MAX(10,IF(Tiers!I28="",1,Tiers!I28)))),IF(Tiers!D28="flat",  IF(Inputs!$B$8="annual",IF(Tiers!G28="","",Tiers!G28/12),                            IF(Tiers!H28="","",Tiers!H28)),""))))))</f>
        <v>75</v>
      </c>
      <c r="E31" s="15" t="n">
        <f aca="false">IF(Tiers!K28="yes","",IF(Model!F28=0,"",IF(Tiers!L28&lt;&gt;"public","",IF(AND(Tiers!J28&lt;&gt;"",25&gt;Tiers!J28),"",IF(Tiers!D28="per_seat",  IF(Inputs!$B$8="annual",IF(Tiers!E28="","",Tiers!E28*MAX(25,IF(Tiers!I28="",1,Tiers!I28))),                            IF(Tiers!F28="","",Tiers!F28*MAX(25,IF(Tiers!I28="",1,Tiers!I28)))),IF(Tiers!D28="flat",  IF(Inputs!$B$8="annual",IF(Tiers!G28="","",Tiers!G28/12),                            IF(Tiers!H28="","",Tiers!H28)),""))))))</f>
        <v>187.5</v>
      </c>
      <c r="F31" s="15" t="n">
        <f aca="false">IF(Tiers!K28="yes","",IF(Model!F28=0,"",IF(Tiers!L28&lt;&gt;"public","",IF(AND(Tiers!J28&lt;&gt;"",50&gt;Tiers!J28),"",IF(Tiers!D28="per_seat",  IF(Inputs!$B$8="annual",IF(Tiers!E28="","",Tiers!E28*MAX(50,IF(Tiers!I28="",1,Tiers!I28))),                            IF(Tiers!F28="","",Tiers!F28*MAX(50,IF(Tiers!I28="",1,Tiers!I28)))),IF(Tiers!D28="flat",  IF(Inputs!$B$8="annual",IF(Tiers!G28="","",Tiers!G28/12),                            IF(Tiers!H28="","",Tiers!H28)),""))))))</f>
        <v>375</v>
      </c>
      <c r="G31" s="15" t="n">
        <f aca="false">IF(Tiers!K28="yes","",IF(Model!F28=0,"",IF(Tiers!L28&lt;&gt;"public","",IF(AND(Tiers!J28&lt;&gt;"",100&gt;Tiers!J28),"",IF(Tiers!D28="per_seat",  IF(Inputs!$B$8="annual",IF(Tiers!E28="","",Tiers!E28*MAX(100,IF(Tiers!I28="",1,Tiers!I28))),                            IF(Tiers!F28="","",Tiers!F28*MAX(100,IF(Tiers!I28="",1,Tiers!I28)))),IF(Tiers!D28="flat",  IF(Inputs!$B$8="annual",IF(Tiers!G28="","",Tiers!G28/12),                            IF(Tiers!H28="","",Tiers!H28)),""))))))</f>
        <v>750</v>
      </c>
      <c r="H31" s="15" t="n">
        <f aca="false">IF(Tiers!K28="yes","",IF(Model!F28=0,"",IF(Tiers!L28&lt;&gt;"public","",IF(AND(Tiers!J28&lt;&gt;"",250&gt;Tiers!J28),"",IF(Tiers!D28="per_seat",  IF(Inputs!$B$8="annual",IF(Tiers!E28="","",Tiers!E28*MAX(250,IF(Tiers!I28="",1,Tiers!I28))),                            IF(Tiers!F28="","",Tiers!F28*MAX(250,IF(Tiers!I28="",1,Tiers!I28)))),IF(Tiers!D28="flat",  IF(Inputs!$B$8="annual",IF(Tiers!G28="","",Tiers!G28/12),                            IF(Tiers!H28="","",Tiers!H28)),""))))))</f>
        <v>1875</v>
      </c>
    </row>
    <row r="32" customFormat="false" ht="15" hidden="false" customHeight="false" outlineLevel="0" collapsed="false">
      <c r="A32" s="20" t="str">
        <f aca="false">Tiers!A29</f>
        <v>Jira</v>
      </c>
      <c r="B32" s="20" t="str">
        <f aca="false">Tiers!B29</f>
        <v>Premium</v>
      </c>
      <c r="C32" s="17" t="n">
        <f aca="false">IF(Tiers!K29="yes","",IF(Model!F29=0,"",IF(Tiers!L29&lt;&gt;"public","",IF(AND(Tiers!J29&lt;&gt;"",5&gt;Tiers!J29),"",IF(Tiers!D29="per_seat",  IF(Inputs!$B$8="annual",IF(Tiers!E29="","",Tiers!E29*MAX(5,IF(Tiers!I29="",1,Tiers!I29))),                            IF(Tiers!F29="","",Tiers!F29*MAX(5,IF(Tiers!I29="",1,Tiers!I29)))),IF(Tiers!D29="flat",  IF(Inputs!$B$8="annual",IF(Tiers!G29="","",Tiers!G29/12),                            IF(Tiers!H29="","",Tiers!H29)),""))))))</f>
        <v>77.1</v>
      </c>
      <c r="D32" s="17" t="n">
        <f aca="false">IF(Tiers!K29="yes","",IF(Model!F29=0,"",IF(Tiers!L29&lt;&gt;"public","",IF(AND(Tiers!J29&lt;&gt;"",10&gt;Tiers!J29),"",IF(Tiers!D29="per_seat",  IF(Inputs!$B$8="annual",IF(Tiers!E29="","",Tiers!E29*MAX(10,IF(Tiers!I29="",1,Tiers!I29))),                            IF(Tiers!F29="","",Tiers!F29*MAX(10,IF(Tiers!I29="",1,Tiers!I29)))),IF(Tiers!D29="flat",  IF(Inputs!$B$8="annual",IF(Tiers!G29="","",Tiers!G29/12),                            IF(Tiers!H29="","",Tiers!H29)),""))))))</f>
        <v>154.2</v>
      </c>
      <c r="E32" s="17" t="n">
        <f aca="false">IF(Tiers!K29="yes","",IF(Model!F29=0,"",IF(Tiers!L29&lt;&gt;"public","",IF(AND(Tiers!J29&lt;&gt;"",25&gt;Tiers!J29),"",IF(Tiers!D29="per_seat",  IF(Inputs!$B$8="annual",IF(Tiers!E29="","",Tiers!E29*MAX(25,IF(Tiers!I29="",1,Tiers!I29))),                            IF(Tiers!F29="","",Tiers!F29*MAX(25,IF(Tiers!I29="",1,Tiers!I29)))),IF(Tiers!D29="flat",  IF(Inputs!$B$8="annual",IF(Tiers!G29="","",Tiers!G29/12),                            IF(Tiers!H29="","",Tiers!H29)),""))))))</f>
        <v>385.5</v>
      </c>
      <c r="F32" s="17" t="n">
        <f aca="false">IF(Tiers!K29="yes","",IF(Model!F29=0,"",IF(Tiers!L29&lt;&gt;"public","",IF(AND(Tiers!J29&lt;&gt;"",50&gt;Tiers!J29),"",IF(Tiers!D29="per_seat",  IF(Inputs!$B$8="annual",IF(Tiers!E29="","",Tiers!E29*MAX(50,IF(Tiers!I29="",1,Tiers!I29))),                            IF(Tiers!F29="","",Tiers!F29*MAX(50,IF(Tiers!I29="",1,Tiers!I29)))),IF(Tiers!D29="flat",  IF(Inputs!$B$8="annual",IF(Tiers!G29="","",Tiers!G29/12),                            IF(Tiers!H29="","",Tiers!H29)),""))))))</f>
        <v>771</v>
      </c>
      <c r="G32" s="17" t="n">
        <f aca="false">IF(Tiers!K29="yes","",IF(Model!F29=0,"",IF(Tiers!L29&lt;&gt;"public","",IF(AND(Tiers!J29&lt;&gt;"",100&gt;Tiers!J29),"",IF(Tiers!D29="per_seat",  IF(Inputs!$B$8="annual",IF(Tiers!E29="","",Tiers!E29*MAX(100,IF(Tiers!I29="",1,Tiers!I29))),                            IF(Tiers!F29="","",Tiers!F29*MAX(100,IF(Tiers!I29="",1,Tiers!I29)))),IF(Tiers!D29="flat",  IF(Inputs!$B$8="annual",IF(Tiers!G29="","",Tiers!G29/12),                            IF(Tiers!H29="","",Tiers!H29)),""))))))</f>
        <v>1542</v>
      </c>
      <c r="H32" s="17" t="n">
        <f aca="false">IF(Tiers!K29="yes","",IF(Model!F29=0,"",IF(Tiers!L29&lt;&gt;"public","",IF(AND(Tiers!J29&lt;&gt;"",250&gt;Tiers!J29),"",IF(Tiers!D29="per_seat",  IF(Inputs!$B$8="annual",IF(Tiers!E29="","",Tiers!E29*MAX(250,IF(Tiers!I29="",1,Tiers!I29))),                            IF(Tiers!F29="","",Tiers!F29*MAX(250,IF(Tiers!I29="",1,Tiers!I29)))),IF(Tiers!D29="flat",  IF(Inputs!$B$8="annual",IF(Tiers!G29="","",Tiers!G29/12),                            IF(Tiers!H29="","",Tiers!H29)),""))))))</f>
        <v>3855</v>
      </c>
    </row>
    <row r="33" customFormat="false" ht="15" hidden="false" customHeight="false" outlineLevel="0" collapsed="false">
      <c r="A33" s="18" t="str">
        <f aca="false">Tiers!A30</f>
        <v>Jira</v>
      </c>
      <c r="B33" s="18" t="str">
        <f aca="false">Tiers!B30</f>
        <v>Enterprise</v>
      </c>
      <c r="C33" s="15" t="str">
        <f aca="false">IF(Tiers!K30="yes","",IF(Model!F30=0,"",IF(Tiers!L30&lt;&gt;"public","",IF(AND(Tiers!J30&lt;&gt;"",5&gt;Tiers!J30),"",IF(Tiers!D30="per_seat",  IF(Inputs!$B$8="annual",IF(Tiers!E30="","",Tiers!E30*MAX(5,IF(Tiers!I30="",1,Tiers!I30))),                            IF(Tiers!F30="","",Tiers!F30*MAX(5,IF(Tiers!I30="",1,Tiers!I30)))),IF(Tiers!D30="flat",  IF(Inputs!$B$8="annual",IF(Tiers!G30="","",Tiers!G30/12),                            IF(Tiers!H30="","",Tiers!H30)),""))))))</f>
        <v/>
      </c>
      <c r="D33" s="15" t="str">
        <f aca="false">IF(Tiers!K30="yes","",IF(Model!F30=0,"",IF(Tiers!L30&lt;&gt;"public","",IF(AND(Tiers!J30&lt;&gt;"",10&gt;Tiers!J30),"",IF(Tiers!D30="per_seat",  IF(Inputs!$B$8="annual",IF(Tiers!E30="","",Tiers!E30*MAX(10,IF(Tiers!I30="",1,Tiers!I30))),                            IF(Tiers!F30="","",Tiers!F30*MAX(10,IF(Tiers!I30="",1,Tiers!I30)))),IF(Tiers!D30="flat",  IF(Inputs!$B$8="annual",IF(Tiers!G30="","",Tiers!G30/12),                            IF(Tiers!H30="","",Tiers!H30)),""))))))</f>
        <v/>
      </c>
      <c r="E33" s="15" t="str">
        <f aca="false">IF(Tiers!K30="yes","",IF(Model!F30=0,"",IF(Tiers!L30&lt;&gt;"public","",IF(AND(Tiers!J30&lt;&gt;"",25&gt;Tiers!J30),"",IF(Tiers!D30="per_seat",  IF(Inputs!$B$8="annual",IF(Tiers!E30="","",Tiers!E30*MAX(25,IF(Tiers!I30="",1,Tiers!I30))),                            IF(Tiers!F30="","",Tiers!F30*MAX(25,IF(Tiers!I30="",1,Tiers!I30)))),IF(Tiers!D30="flat",  IF(Inputs!$B$8="annual",IF(Tiers!G30="","",Tiers!G30/12),                            IF(Tiers!H30="","",Tiers!H30)),""))))))</f>
        <v/>
      </c>
      <c r="F33" s="15" t="str">
        <f aca="false">IF(Tiers!K30="yes","",IF(Model!F30=0,"",IF(Tiers!L30&lt;&gt;"public","",IF(AND(Tiers!J30&lt;&gt;"",50&gt;Tiers!J30),"",IF(Tiers!D30="per_seat",  IF(Inputs!$B$8="annual",IF(Tiers!E30="","",Tiers!E30*MAX(50,IF(Tiers!I30="",1,Tiers!I30))),                            IF(Tiers!F30="","",Tiers!F30*MAX(50,IF(Tiers!I30="",1,Tiers!I30)))),IF(Tiers!D30="flat",  IF(Inputs!$B$8="annual",IF(Tiers!G30="","",Tiers!G30/12),                            IF(Tiers!H30="","",Tiers!H30)),""))))))</f>
        <v/>
      </c>
      <c r="G33" s="15" t="str">
        <f aca="false">IF(Tiers!K30="yes","",IF(Model!F30=0,"",IF(Tiers!L30&lt;&gt;"public","",IF(AND(Tiers!J30&lt;&gt;"",100&gt;Tiers!J30),"",IF(Tiers!D30="per_seat",  IF(Inputs!$B$8="annual",IF(Tiers!E30="","",Tiers!E30*MAX(100,IF(Tiers!I30="",1,Tiers!I30))),                            IF(Tiers!F30="","",Tiers!F30*MAX(100,IF(Tiers!I30="",1,Tiers!I30)))),IF(Tiers!D30="flat",  IF(Inputs!$B$8="annual",IF(Tiers!G30="","",Tiers!G30/12),                            IF(Tiers!H30="","",Tiers!H30)),""))))))</f>
        <v/>
      </c>
      <c r="H33" s="15" t="str">
        <f aca="false">IF(Tiers!K30="yes","",IF(Model!F30=0,"",IF(Tiers!L30&lt;&gt;"public","",IF(AND(Tiers!J30&lt;&gt;"",250&gt;Tiers!J30),"",IF(Tiers!D30="per_seat",  IF(Inputs!$B$8="annual",IF(Tiers!E30="","",Tiers!E30*MAX(250,IF(Tiers!I30="",1,Tiers!I30))),                            IF(Tiers!F30="","",Tiers!F30*MAX(250,IF(Tiers!I30="",1,Tiers!I30)))),IF(Tiers!D30="flat",  IF(Inputs!$B$8="annual",IF(Tiers!G30="","",Tiers!G30/12),                            IF(Tiers!H30="","",Tiers!H30)),""))))))</f>
        <v/>
      </c>
    </row>
    <row r="34" customFormat="false" ht="15" hidden="false" customHeight="false" outlineLevel="0" collapsed="false">
      <c r="A34" s="20" t="str">
        <f aca="false">Tiers!A31</f>
        <v>Basecamp</v>
      </c>
      <c r="B34" s="20" t="str">
        <f aca="false">Tiers!B31</f>
        <v>Free</v>
      </c>
      <c r="C34" s="17" t="str">
        <f aca="false">IF(Tiers!K31="yes","",IF(Model!F31=0,"",IF(Tiers!L31&lt;&gt;"public","",IF(AND(Tiers!J31&lt;&gt;"",5&gt;Tiers!J31),"",IF(Tiers!D31="per_seat",  IF(Inputs!$B$8="annual",IF(Tiers!E31="","",Tiers!E31*MAX(5,IF(Tiers!I31="",1,Tiers!I31))),                            IF(Tiers!F31="","",Tiers!F31*MAX(5,IF(Tiers!I31="",1,Tiers!I31)))),IF(Tiers!D31="flat",  IF(Inputs!$B$8="annual",IF(Tiers!G31="","",Tiers!G31/12),                            IF(Tiers!H31="","",Tiers!H31)),""))))))</f>
        <v/>
      </c>
      <c r="D34" s="17" t="str">
        <f aca="false">IF(Tiers!K31="yes","",IF(Model!F31=0,"",IF(Tiers!L31&lt;&gt;"public","",IF(AND(Tiers!J31&lt;&gt;"",10&gt;Tiers!J31),"",IF(Tiers!D31="per_seat",  IF(Inputs!$B$8="annual",IF(Tiers!E31="","",Tiers!E31*MAX(10,IF(Tiers!I31="",1,Tiers!I31))),                            IF(Tiers!F31="","",Tiers!F31*MAX(10,IF(Tiers!I31="",1,Tiers!I31)))),IF(Tiers!D31="flat",  IF(Inputs!$B$8="annual",IF(Tiers!G31="","",Tiers!G31/12),                            IF(Tiers!H31="","",Tiers!H31)),""))))))</f>
        <v/>
      </c>
      <c r="E34" s="17" t="str">
        <f aca="false">IF(Tiers!K31="yes","",IF(Model!F31=0,"",IF(Tiers!L31&lt;&gt;"public","",IF(AND(Tiers!J31&lt;&gt;"",25&gt;Tiers!J31),"",IF(Tiers!D31="per_seat",  IF(Inputs!$B$8="annual",IF(Tiers!E31="","",Tiers!E31*MAX(25,IF(Tiers!I31="",1,Tiers!I31))),                            IF(Tiers!F31="","",Tiers!F31*MAX(25,IF(Tiers!I31="",1,Tiers!I31)))),IF(Tiers!D31="flat",  IF(Inputs!$B$8="annual",IF(Tiers!G31="","",Tiers!G31/12),                            IF(Tiers!H31="","",Tiers!H31)),""))))))</f>
        <v/>
      </c>
      <c r="F34" s="17" t="str">
        <f aca="false">IF(Tiers!K31="yes","",IF(Model!F31=0,"",IF(Tiers!L31&lt;&gt;"public","",IF(AND(Tiers!J31&lt;&gt;"",50&gt;Tiers!J31),"",IF(Tiers!D31="per_seat",  IF(Inputs!$B$8="annual",IF(Tiers!E31="","",Tiers!E31*MAX(50,IF(Tiers!I31="",1,Tiers!I31))),                            IF(Tiers!F31="","",Tiers!F31*MAX(50,IF(Tiers!I31="",1,Tiers!I31)))),IF(Tiers!D31="flat",  IF(Inputs!$B$8="annual",IF(Tiers!G31="","",Tiers!G31/12),                            IF(Tiers!H31="","",Tiers!H31)),""))))))</f>
        <v/>
      </c>
      <c r="G34" s="17" t="str">
        <f aca="false">IF(Tiers!K31="yes","",IF(Model!F31=0,"",IF(Tiers!L31&lt;&gt;"public","",IF(AND(Tiers!J31&lt;&gt;"",100&gt;Tiers!J31),"",IF(Tiers!D31="per_seat",  IF(Inputs!$B$8="annual",IF(Tiers!E31="","",Tiers!E31*MAX(100,IF(Tiers!I31="",1,Tiers!I31))),                            IF(Tiers!F31="","",Tiers!F31*MAX(100,IF(Tiers!I31="",1,Tiers!I31)))),IF(Tiers!D31="flat",  IF(Inputs!$B$8="annual",IF(Tiers!G31="","",Tiers!G31/12),                            IF(Tiers!H31="","",Tiers!H31)),""))))))</f>
        <v/>
      </c>
      <c r="H34" s="17" t="str">
        <f aca="false">IF(Tiers!K31="yes","",IF(Model!F31=0,"",IF(Tiers!L31&lt;&gt;"public","",IF(AND(Tiers!J31&lt;&gt;"",250&gt;Tiers!J31),"",IF(Tiers!D31="per_seat",  IF(Inputs!$B$8="annual",IF(Tiers!E31="","",Tiers!E31*MAX(250,IF(Tiers!I31="",1,Tiers!I31))),                            IF(Tiers!F31="","",Tiers!F31*MAX(250,IF(Tiers!I31="",1,Tiers!I31)))),IF(Tiers!D31="flat",  IF(Inputs!$B$8="annual",IF(Tiers!G31="","",Tiers!G31/12),                            IF(Tiers!H31="","",Tiers!H31)),""))))))</f>
        <v/>
      </c>
    </row>
    <row r="35" customFormat="false" ht="15" hidden="false" customHeight="false" outlineLevel="0" collapsed="false">
      <c r="A35" s="18" t="str">
        <f aca="false">Tiers!A32</f>
        <v>Basecamp</v>
      </c>
      <c r="B35" s="18" t="str">
        <f aca="false">Tiers!B32</f>
        <v>Freelancer</v>
      </c>
      <c r="C35" s="15" t="n">
        <f aca="false">IF(Tiers!K32="yes","",IF(Model!F32=0,"",IF(Tiers!L32&lt;&gt;"public","",IF(AND(Tiers!J32&lt;&gt;"",5&gt;Tiers!J32),"",IF(Tiers!D32="per_seat",  IF(Inputs!$B$8="annual",IF(Tiers!E32="","",Tiers!E32*MAX(5,IF(Tiers!I32="",1,Tiers!I32))),                            IF(Tiers!F32="","",Tiers!F32*MAX(5,IF(Tiers!I32="",1,Tiers!I32)))),IF(Tiers!D32="flat",  IF(Inputs!$B$8="annual",IF(Tiers!G32="","",Tiers!G32/12),                            IF(Tiers!H32="","",Tiers!H32)),""))))))</f>
        <v>20.8333333333333</v>
      </c>
      <c r="D35" s="15" t="n">
        <f aca="false">IF(Tiers!K32="yes","",IF(Model!F32=0,"",IF(Tiers!L32&lt;&gt;"public","",IF(AND(Tiers!J32&lt;&gt;"",10&gt;Tiers!J32),"",IF(Tiers!D32="per_seat",  IF(Inputs!$B$8="annual",IF(Tiers!E32="","",Tiers!E32*MAX(10,IF(Tiers!I32="",1,Tiers!I32))),                            IF(Tiers!F32="","",Tiers!F32*MAX(10,IF(Tiers!I32="",1,Tiers!I32)))),IF(Tiers!D32="flat",  IF(Inputs!$B$8="annual",IF(Tiers!G32="","",Tiers!G32/12),                            IF(Tiers!H32="","",Tiers!H32)),""))))))</f>
        <v>20.8333333333333</v>
      </c>
      <c r="E35" s="15" t="str">
        <f aca="false">IF(Tiers!K32="yes","",IF(Model!F32=0,"",IF(Tiers!L32&lt;&gt;"public","",IF(AND(Tiers!J32&lt;&gt;"",25&gt;Tiers!J32),"",IF(Tiers!D32="per_seat",  IF(Inputs!$B$8="annual",IF(Tiers!E32="","",Tiers!E32*MAX(25,IF(Tiers!I32="",1,Tiers!I32))),                            IF(Tiers!F32="","",Tiers!F32*MAX(25,IF(Tiers!I32="",1,Tiers!I32)))),IF(Tiers!D32="flat",  IF(Inputs!$B$8="annual",IF(Tiers!G32="","",Tiers!G32/12),                            IF(Tiers!H32="","",Tiers!H32)),""))))))</f>
        <v/>
      </c>
      <c r="F35" s="15" t="str">
        <f aca="false">IF(Tiers!K32="yes","",IF(Model!F32=0,"",IF(Tiers!L32&lt;&gt;"public","",IF(AND(Tiers!J32&lt;&gt;"",50&gt;Tiers!J32),"",IF(Tiers!D32="per_seat",  IF(Inputs!$B$8="annual",IF(Tiers!E32="","",Tiers!E32*MAX(50,IF(Tiers!I32="",1,Tiers!I32))),                            IF(Tiers!F32="","",Tiers!F32*MAX(50,IF(Tiers!I32="",1,Tiers!I32)))),IF(Tiers!D32="flat",  IF(Inputs!$B$8="annual",IF(Tiers!G32="","",Tiers!G32/12),                            IF(Tiers!H32="","",Tiers!H32)),""))))))</f>
        <v/>
      </c>
      <c r="G35" s="15" t="str">
        <f aca="false">IF(Tiers!K32="yes","",IF(Model!F32=0,"",IF(Tiers!L32&lt;&gt;"public","",IF(AND(Tiers!J32&lt;&gt;"",100&gt;Tiers!J32),"",IF(Tiers!D32="per_seat",  IF(Inputs!$B$8="annual",IF(Tiers!E32="","",Tiers!E32*MAX(100,IF(Tiers!I32="",1,Tiers!I32))),                            IF(Tiers!F32="","",Tiers!F32*MAX(100,IF(Tiers!I32="",1,Tiers!I32)))),IF(Tiers!D32="flat",  IF(Inputs!$B$8="annual",IF(Tiers!G32="","",Tiers!G32/12),                            IF(Tiers!H32="","",Tiers!H32)),""))))))</f>
        <v/>
      </c>
      <c r="H35" s="15" t="str">
        <f aca="false">IF(Tiers!K32="yes","",IF(Model!F32=0,"",IF(Tiers!L32&lt;&gt;"public","",IF(AND(Tiers!J32&lt;&gt;"",250&gt;Tiers!J32),"",IF(Tiers!D32="per_seat",  IF(Inputs!$B$8="annual",IF(Tiers!E32="","",Tiers!E32*MAX(250,IF(Tiers!I32="",1,Tiers!I32))),                            IF(Tiers!F32="","",Tiers!F32*MAX(250,IF(Tiers!I32="",1,Tiers!I32)))),IF(Tiers!D32="flat",  IF(Inputs!$B$8="annual",IF(Tiers!G32="","",Tiers!G32/12),                            IF(Tiers!H32="","",Tiers!H32)),""))))))</f>
        <v/>
      </c>
    </row>
    <row r="36" customFormat="false" ht="15" hidden="false" customHeight="false" outlineLevel="0" collapsed="false">
      <c r="A36" s="20" t="str">
        <f aca="false">Tiers!A33</f>
        <v>Basecamp</v>
      </c>
      <c r="B36" s="20" t="str">
        <f aca="false">Tiers!B33</f>
        <v>Studio</v>
      </c>
      <c r="C36" s="17" t="n">
        <f aca="false">IF(Tiers!K33="yes","",IF(Model!F33=0,"",IF(Tiers!L33&lt;&gt;"public","",IF(AND(Tiers!J33&lt;&gt;"",5&gt;Tiers!J33),"",IF(Tiers!D33="per_seat",  IF(Inputs!$B$8="annual",IF(Tiers!E33="","",Tiers!E33*MAX(5,IF(Tiers!I33="",1,Tiers!I33))),                            IF(Tiers!F33="","",Tiers!F33*MAX(5,IF(Tiers!I33="",1,Tiers!I33)))),IF(Tiers!D33="flat",  IF(Inputs!$B$8="annual",IF(Tiers!G33="","",Tiers!G33/12),                            IF(Tiers!H33="","",Tiers!H33)),""))))))</f>
        <v>49.1666666666667</v>
      </c>
      <c r="D36" s="17" t="n">
        <f aca="false">IF(Tiers!K33="yes","",IF(Model!F33=0,"",IF(Tiers!L33&lt;&gt;"public","",IF(AND(Tiers!J33&lt;&gt;"",10&gt;Tiers!J33),"",IF(Tiers!D33="per_seat",  IF(Inputs!$B$8="annual",IF(Tiers!E33="","",Tiers!E33*MAX(10,IF(Tiers!I33="",1,Tiers!I33))),                            IF(Tiers!F33="","",Tiers!F33*MAX(10,IF(Tiers!I33="",1,Tiers!I33)))),IF(Tiers!D33="flat",  IF(Inputs!$B$8="annual",IF(Tiers!G33="","",Tiers!G33/12),                            IF(Tiers!H33="","",Tiers!H33)),""))))))</f>
        <v>49.1666666666667</v>
      </c>
      <c r="E36" s="17" t="n">
        <f aca="false">IF(Tiers!K33="yes","",IF(Model!F33=0,"",IF(Tiers!L33&lt;&gt;"public","",IF(AND(Tiers!J33&lt;&gt;"",25&gt;Tiers!J33),"",IF(Tiers!D33="per_seat",  IF(Inputs!$B$8="annual",IF(Tiers!E33="","",Tiers!E33*MAX(25,IF(Tiers!I33="",1,Tiers!I33))),                            IF(Tiers!F33="","",Tiers!F33*MAX(25,IF(Tiers!I33="",1,Tiers!I33)))),IF(Tiers!D33="flat",  IF(Inputs!$B$8="annual",IF(Tiers!G33="","",Tiers!G33/12),                            IF(Tiers!H33="","",Tiers!H33)),""))))))</f>
        <v>49.1666666666667</v>
      </c>
      <c r="F36" s="17" t="n">
        <f aca="false">IF(Tiers!K33="yes","",IF(Model!F33=0,"",IF(Tiers!L33&lt;&gt;"public","",IF(AND(Tiers!J33&lt;&gt;"",50&gt;Tiers!J33),"",IF(Tiers!D33="per_seat",  IF(Inputs!$B$8="annual",IF(Tiers!E33="","",Tiers!E33*MAX(50,IF(Tiers!I33="",1,Tiers!I33))),                            IF(Tiers!F33="","",Tiers!F33*MAX(50,IF(Tiers!I33="",1,Tiers!I33)))),IF(Tiers!D33="flat",  IF(Inputs!$B$8="annual",IF(Tiers!G33="","",Tiers!G33/12),                            IF(Tiers!H33="","",Tiers!H33)),""))))))</f>
        <v>49.1666666666667</v>
      </c>
      <c r="G36" s="17" t="n">
        <f aca="false">IF(Tiers!K33="yes","",IF(Model!F33=0,"",IF(Tiers!L33&lt;&gt;"public","",IF(AND(Tiers!J33&lt;&gt;"",100&gt;Tiers!J33),"",IF(Tiers!D33="per_seat",  IF(Inputs!$B$8="annual",IF(Tiers!E33="","",Tiers!E33*MAX(100,IF(Tiers!I33="",1,Tiers!I33))),                            IF(Tiers!F33="","",Tiers!F33*MAX(100,IF(Tiers!I33="",1,Tiers!I33)))),IF(Tiers!D33="flat",  IF(Inputs!$B$8="annual",IF(Tiers!G33="","",Tiers!G33/12),                            IF(Tiers!H33="","",Tiers!H33)),""))))))</f>
        <v>49.1666666666667</v>
      </c>
      <c r="H36" s="17" t="n">
        <f aca="false">IF(Tiers!K33="yes","",IF(Model!F33=0,"",IF(Tiers!L33&lt;&gt;"public","",IF(AND(Tiers!J33&lt;&gt;"",250&gt;Tiers!J33),"",IF(Tiers!D33="per_seat",  IF(Inputs!$B$8="annual",IF(Tiers!E33="","",Tiers!E33*MAX(250,IF(Tiers!I33="",1,Tiers!I33))),                            IF(Tiers!F33="","",Tiers!F33*MAX(250,IF(Tiers!I33="",1,Tiers!I33)))),IF(Tiers!D33="flat",  IF(Inputs!$B$8="annual",IF(Tiers!G33="","",Tiers!G33/12),                            IF(Tiers!H33="","",Tiers!H33)),""))))))</f>
        <v>49.1666666666667</v>
      </c>
    </row>
    <row r="37" customFormat="false" ht="15" hidden="false" customHeight="false" outlineLevel="0" collapsed="false">
      <c r="A37" s="18" t="str">
        <f aca="false">Tiers!A34</f>
        <v>Basecamp</v>
      </c>
      <c r="B37" s="18" t="str">
        <f aca="false">Tiers!B34</f>
        <v>Pro</v>
      </c>
      <c r="C37" s="15" t="n">
        <f aca="false">IF(Tiers!K34="yes","",IF(Model!F34=0,"",IF(Tiers!L34&lt;&gt;"public","",IF(AND(Tiers!J34&lt;&gt;"",5&gt;Tiers!J34),"",IF(Tiers!D34="per_seat",  IF(Inputs!$B$8="annual",IF(Tiers!E34="","",Tiers!E34*MAX(5,IF(Tiers!I34="",1,Tiers!I34))),                            IF(Tiers!F34="","",Tiers!F34*MAX(5,IF(Tiers!I34="",1,Tiers!I34)))),IF(Tiers!D34="flat",  IF(Inputs!$B$8="annual",IF(Tiers!G34="","",Tiers!G34/12),                            IF(Tiers!H34="","",Tiers!H34)),""))))))</f>
        <v>82.5</v>
      </c>
      <c r="D37" s="15" t="n">
        <f aca="false">IF(Tiers!K34="yes","",IF(Model!F34=0,"",IF(Tiers!L34&lt;&gt;"public","",IF(AND(Tiers!J34&lt;&gt;"",10&gt;Tiers!J34),"",IF(Tiers!D34="per_seat",  IF(Inputs!$B$8="annual",IF(Tiers!E34="","",Tiers!E34*MAX(10,IF(Tiers!I34="",1,Tiers!I34))),                            IF(Tiers!F34="","",Tiers!F34*MAX(10,IF(Tiers!I34="",1,Tiers!I34)))),IF(Tiers!D34="flat",  IF(Inputs!$B$8="annual",IF(Tiers!G34="","",Tiers!G34/12),                            IF(Tiers!H34="","",Tiers!H34)),""))))))</f>
        <v>82.5</v>
      </c>
      <c r="E37" s="15" t="n">
        <f aca="false">IF(Tiers!K34="yes","",IF(Model!F34=0,"",IF(Tiers!L34&lt;&gt;"public","",IF(AND(Tiers!J34&lt;&gt;"",25&gt;Tiers!J34),"",IF(Tiers!D34="per_seat",  IF(Inputs!$B$8="annual",IF(Tiers!E34="","",Tiers!E34*MAX(25,IF(Tiers!I34="",1,Tiers!I34))),                            IF(Tiers!F34="","",Tiers!F34*MAX(25,IF(Tiers!I34="",1,Tiers!I34)))),IF(Tiers!D34="flat",  IF(Inputs!$B$8="annual",IF(Tiers!G34="","",Tiers!G34/12),                            IF(Tiers!H34="","",Tiers!H34)),""))))))</f>
        <v>82.5</v>
      </c>
      <c r="F37" s="15" t="n">
        <f aca="false">IF(Tiers!K34="yes","",IF(Model!F34=0,"",IF(Tiers!L34&lt;&gt;"public","",IF(AND(Tiers!J34&lt;&gt;"",50&gt;Tiers!J34),"",IF(Tiers!D34="per_seat",  IF(Inputs!$B$8="annual",IF(Tiers!E34="","",Tiers!E34*MAX(50,IF(Tiers!I34="",1,Tiers!I34))),                            IF(Tiers!F34="","",Tiers!F34*MAX(50,IF(Tiers!I34="",1,Tiers!I34)))),IF(Tiers!D34="flat",  IF(Inputs!$B$8="annual",IF(Tiers!G34="","",Tiers!G34/12),                            IF(Tiers!H34="","",Tiers!H34)),""))))))</f>
        <v>82.5</v>
      </c>
      <c r="G37" s="15" t="n">
        <f aca="false">IF(Tiers!K34="yes","",IF(Model!F34=0,"",IF(Tiers!L34&lt;&gt;"public","",IF(AND(Tiers!J34&lt;&gt;"",100&gt;Tiers!J34),"",IF(Tiers!D34="per_seat",  IF(Inputs!$B$8="annual",IF(Tiers!E34="","",Tiers!E34*MAX(100,IF(Tiers!I34="",1,Tiers!I34))),                            IF(Tiers!F34="","",Tiers!F34*MAX(100,IF(Tiers!I34="",1,Tiers!I34)))),IF(Tiers!D34="flat",  IF(Inputs!$B$8="annual",IF(Tiers!G34="","",Tiers!G34/12),                            IF(Tiers!H34="","",Tiers!H34)),""))))))</f>
        <v>82.5</v>
      </c>
      <c r="H37" s="15" t="n">
        <f aca="false">IF(Tiers!K34="yes","",IF(Model!F34=0,"",IF(Tiers!L34&lt;&gt;"public","",IF(AND(Tiers!J34&lt;&gt;"",250&gt;Tiers!J34),"",IF(Tiers!D34="per_seat",  IF(Inputs!$B$8="annual",IF(Tiers!E34="","",Tiers!E34*MAX(250,IF(Tiers!I34="",1,Tiers!I34))),                            IF(Tiers!F34="","",Tiers!F34*MAX(250,IF(Tiers!I34="",1,Tiers!I34)))),IF(Tiers!D34="flat",  IF(Inputs!$B$8="annual",IF(Tiers!G34="","",Tiers!G34/12),                            IF(Tiers!H34="","",Tiers!H34)),""))))))</f>
        <v>82.5</v>
      </c>
    </row>
    <row r="38" customFormat="false" ht="15" hidden="false" customHeight="false" outlineLevel="0" collapsed="false">
      <c r="A38" s="20" t="str">
        <f aca="false">Tiers!A35</f>
        <v>Basecamp</v>
      </c>
      <c r="B38" s="20" t="str">
        <f aca="false">Tiers!B35</f>
        <v>Unlimited Edition</v>
      </c>
      <c r="C38" s="17" t="n">
        <f aca="false">IF(Tiers!K35="yes","",IF(Model!F35=0,"",IF(Tiers!L35&lt;&gt;"public","",IF(AND(Tiers!J35&lt;&gt;"",5&gt;Tiers!J35),"",IF(Tiers!D35="per_seat",  IF(Inputs!$B$8="annual",IF(Tiers!E35="","",Tiers!E35*MAX(5,IF(Tiers!I35="",1,Tiers!I35))),                            IF(Tiers!F35="","",Tiers!F35*MAX(5,IF(Tiers!I35="",1,Tiers!I35)))),IF(Tiers!D35="flat",  IF(Inputs!$B$8="annual",IF(Tiers!G35="","",Tiers!G35/12),                            IF(Tiers!H35="","",Tiers!H35)),""))))))</f>
        <v>299</v>
      </c>
      <c r="D38" s="17" t="n">
        <f aca="false">IF(Tiers!K35="yes","",IF(Model!F35=0,"",IF(Tiers!L35&lt;&gt;"public","",IF(AND(Tiers!J35&lt;&gt;"",10&gt;Tiers!J35),"",IF(Tiers!D35="per_seat",  IF(Inputs!$B$8="annual",IF(Tiers!E35="","",Tiers!E35*MAX(10,IF(Tiers!I35="",1,Tiers!I35))),                            IF(Tiers!F35="","",Tiers!F35*MAX(10,IF(Tiers!I35="",1,Tiers!I35)))),IF(Tiers!D35="flat",  IF(Inputs!$B$8="annual",IF(Tiers!G35="","",Tiers!G35/12),                            IF(Tiers!H35="","",Tiers!H35)),""))))))</f>
        <v>299</v>
      </c>
      <c r="E38" s="17" t="n">
        <f aca="false">IF(Tiers!K35="yes","",IF(Model!F35=0,"",IF(Tiers!L35&lt;&gt;"public","",IF(AND(Tiers!J35&lt;&gt;"",25&gt;Tiers!J35),"",IF(Tiers!D35="per_seat",  IF(Inputs!$B$8="annual",IF(Tiers!E35="","",Tiers!E35*MAX(25,IF(Tiers!I35="",1,Tiers!I35))),                            IF(Tiers!F35="","",Tiers!F35*MAX(25,IF(Tiers!I35="",1,Tiers!I35)))),IF(Tiers!D35="flat",  IF(Inputs!$B$8="annual",IF(Tiers!G35="","",Tiers!G35/12),                            IF(Tiers!H35="","",Tiers!H35)),""))))))</f>
        <v>299</v>
      </c>
      <c r="F38" s="17" t="n">
        <f aca="false">IF(Tiers!K35="yes","",IF(Model!F35=0,"",IF(Tiers!L35&lt;&gt;"public","",IF(AND(Tiers!J35&lt;&gt;"",50&gt;Tiers!J35),"",IF(Tiers!D35="per_seat",  IF(Inputs!$B$8="annual",IF(Tiers!E35="","",Tiers!E35*MAX(50,IF(Tiers!I35="",1,Tiers!I35))),                            IF(Tiers!F35="","",Tiers!F35*MAX(50,IF(Tiers!I35="",1,Tiers!I35)))),IF(Tiers!D35="flat",  IF(Inputs!$B$8="annual",IF(Tiers!G35="","",Tiers!G35/12),                            IF(Tiers!H35="","",Tiers!H35)),""))))))</f>
        <v>299</v>
      </c>
      <c r="G38" s="17" t="n">
        <f aca="false">IF(Tiers!K35="yes","",IF(Model!F35=0,"",IF(Tiers!L35&lt;&gt;"public","",IF(AND(Tiers!J35&lt;&gt;"",100&gt;Tiers!J35),"",IF(Tiers!D35="per_seat",  IF(Inputs!$B$8="annual",IF(Tiers!E35="","",Tiers!E35*MAX(100,IF(Tiers!I35="",1,Tiers!I35))),                            IF(Tiers!F35="","",Tiers!F35*MAX(100,IF(Tiers!I35="",1,Tiers!I35)))),IF(Tiers!D35="flat",  IF(Inputs!$B$8="annual",IF(Tiers!G35="","",Tiers!G35/12),                            IF(Tiers!H35="","",Tiers!H35)),""))))))</f>
        <v>299</v>
      </c>
      <c r="H38" s="17" t="n">
        <f aca="false">IF(Tiers!K35="yes","",IF(Model!F35=0,"",IF(Tiers!L35&lt;&gt;"public","",IF(AND(Tiers!J35&lt;&gt;"",250&gt;Tiers!J35),"",IF(Tiers!D35="per_seat",  IF(Inputs!$B$8="annual",IF(Tiers!E35="","",Tiers!E35*MAX(250,IF(Tiers!I35="",1,Tiers!I35))),                            IF(Tiers!F35="","",Tiers!F35*MAX(250,IF(Tiers!I35="",1,Tiers!I35)))),IF(Tiers!D35="flat",  IF(Inputs!$B$8="annual",IF(Tiers!G35="","",Tiers!G35/12),                            IF(Tiers!H35="","",Tiers!H35)),""))))))</f>
        <v>299</v>
      </c>
    </row>
    <row r="39" customFormat="false" ht="15" hidden="false" customHeight="false" outlineLevel="0" collapsed="false">
      <c r="A39" s="18" t="str">
        <f aca="false">Tiers!A36</f>
        <v>Wrike</v>
      </c>
      <c r="B39" s="18" t="str">
        <f aca="false">Tiers!B36</f>
        <v>Free</v>
      </c>
      <c r="C39" s="15" t="str">
        <f aca="false">IF(Tiers!K36="yes","",IF(Model!F36=0,"",IF(Tiers!L36&lt;&gt;"public","",IF(AND(Tiers!J36&lt;&gt;"",5&gt;Tiers!J36),"",IF(Tiers!D36="per_seat",  IF(Inputs!$B$8="annual",IF(Tiers!E36="","",Tiers!E36*MAX(5,IF(Tiers!I36="",1,Tiers!I36))),                            IF(Tiers!F36="","",Tiers!F36*MAX(5,IF(Tiers!I36="",1,Tiers!I36)))),IF(Tiers!D36="flat",  IF(Inputs!$B$8="annual",IF(Tiers!G36="","",Tiers!G36/12),                            IF(Tiers!H36="","",Tiers!H36)),""))))))</f>
        <v/>
      </c>
      <c r="D39" s="15" t="str">
        <f aca="false">IF(Tiers!K36="yes","",IF(Model!F36=0,"",IF(Tiers!L36&lt;&gt;"public","",IF(AND(Tiers!J36&lt;&gt;"",10&gt;Tiers!J36),"",IF(Tiers!D36="per_seat",  IF(Inputs!$B$8="annual",IF(Tiers!E36="","",Tiers!E36*MAX(10,IF(Tiers!I36="",1,Tiers!I36))),                            IF(Tiers!F36="","",Tiers!F36*MAX(10,IF(Tiers!I36="",1,Tiers!I36)))),IF(Tiers!D36="flat",  IF(Inputs!$B$8="annual",IF(Tiers!G36="","",Tiers!G36/12),                            IF(Tiers!H36="","",Tiers!H36)),""))))))</f>
        <v/>
      </c>
      <c r="E39" s="15" t="str">
        <f aca="false">IF(Tiers!K36="yes","",IF(Model!F36=0,"",IF(Tiers!L36&lt;&gt;"public","",IF(AND(Tiers!J36&lt;&gt;"",25&gt;Tiers!J36),"",IF(Tiers!D36="per_seat",  IF(Inputs!$B$8="annual",IF(Tiers!E36="","",Tiers!E36*MAX(25,IF(Tiers!I36="",1,Tiers!I36))),                            IF(Tiers!F36="","",Tiers!F36*MAX(25,IF(Tiers!I36="",1,Tiers!I36)))),IF(Tiers!D36="flat",  IF(Inputs!$B$8="annual",IF(Tiers!G36="","",Tiers!G36/12),                            IF(Tiers!H36="","",Tiers!H36)),""))))))</f>
        <v/>
      </c>
      <c r="F39" s="15" t="str">
        <f aca="false">IF(Tiers!K36="yes","",IF(Model!F36=0,"",IF(Tiers!L36&lt;&gt;"public","",IF(AND(Tiers!J36&lt;&gt;"",50&gt;Tiers!J36),"",IF(Tiers!D36="per_seat",  IF(Inputs!$B$8="annual",IF(Tiers!E36="","",Tiers!E36*MAX(50,IF(Tiers!I36="",1,Tiers!I36))),                            IF(Tiers!F36="","",Tiers!F36*MAX(50,IF(Tiers!I36="",1,Tiers!I36)))),IF(Tiers!D36="flat",  IF(Inputs!$B$8="annual",IF(Tiers!G36="","",Tiers!G36/12),                            IF(Tiers!H36="","",Tiers!H36)),""))))))</f>
        <v/>
      </c>
      <c r="G39" s="15" t="str">
        <f aca="false">IF(Tiers!K36="yes","",IF(Model!F36=0,"",IF(Tiers!L36&lt;&gt;"public","",IF(AND(Tiers!J36&lt;&gt;"",100&gt;Tiers!J36),"",IF(Tiers!D36="per_seat",  IF(Inputs!$B$8="annual",IF(Tiers!E36="","",Tiers!E36*MAX(100,IF(Tiers!I36="",1,Tiers!I36))),                            IF(Tiers!F36="","",Tiers!F36*MAX(100,IF(Tiers!I36="",1,Tiers!I36)))),IF(Tiers!D36="flat",  IF(Inputs!$B$8="annual",IF(Tiers!G36="","",Tiers!G36/12),                            IF(Tiers!H36="","",Tiers!H36)),""))))))</f>
        <v/>
      </c>
      <c r="H39" s="15" t="str">
        <f aca="false">IF(Tiers!K36="yes","",IF(Model!F36=0,"",IF(Tiers!L36&lt;&gt;"public","",IF(AND(Tiers!J36&lt;&gt;"",250&gt;Tiers!J36),"",IF(Tiers!D36="per_seat",  IF(Inputs!$B$8="annual",IF(Tiers!E36="","",Tiers!E36*MAX(250,IF(Tiers!I36="",1,Tiers!I36))),                            IF(Tiers!F36="","",Tiers!F36*MAX(250,IF(Tiers!I36="",1,Tiers!I36)))),IF(Tiers!D36="flat",  IF(Inputs!$B$8="annual",IF(Tiers!G36="","",Tiers!G36/12),                            IF(Tiers!H36="","",Tiers!H36)),""))))))</f>
        <v/>
      </c>
    </row>
    <row r="40" customFormat="false" ht="15" hidden="false" customHeight="false" outlineLevel="0" collapsed="false">
      <c r="A40" s="20" t="str">
        <f aca="false">Tiers!A37</f>
        <v>Wrike</v>
      </c>
      <c r="B40" s="20" t="str">
        <f aca="false">Tiers!B37</f>
        <v>Team</v>
      </c>
      <c r="C40" s="17" t="n">
        <f aca="false">IF(Tiers!K37="yes","",IF(Model!F37=0,"",IF(Tiers!L37&lt;&gt;"public","",IF(AND(Tiers!J37&lt;&gt;"",5&gt;Tiers!J37),"",IF(Tiers!D37="per_seat",  IF(Inputs!$B$8="annual",IF(Tiers!E37="","",Tiers!E37*MAX(5,IF(Tiers!I37="",1,Tiers!I37))),                            IF(Tiers!F37="","",Tiers!F37*MAX(5,IF(Tiers!I37="",1,Tiers!I37)))),IF(Tiers!D37="flat",  IF(Inputs!$B$8="annual",IF(Tiers!G37="","",Tiers!G37/12),                            IF(Tiers!H37="","",Tiers!H37)),""))))))</f>
        <v>50</v>
      </c>
      <c r="D40" s="17" t="n">
        <f aca="false">IF(Tiers!K37="yes","",IF(Model!F37=0,"",IF(Tiers!L37&lt;&gt;"public","",IF(AND(Tiers!J37&lt;&gt;"",10&gt;Tiers!J37),"",IF(Tiers!D37="per_seat",  IF(Inputs!$B$8="annual",IF(Tiers!E37="","",Tiers!E37*MAX(10,IF(Tiers!I37="",1,Tiers!I37))),                            IF(Tiers!F37="","",Tiers!F37*MAX(10,IF(Tiers!I37="",1,Tiers!I37)))),IF(Tiers!D37="flat",  IF(Inputs!$B$8="annual",IF(Tiers!G37="","",Tiers!G37/12),                            IF(Tiers!H37="","",Tiers!H37)),""))))))</f>
        <v>100</v>
      </c>
      <c r="E40" s="17" t="str">
        <f aca="false">IF(Tiers!K37="yes","",IF(Model!F37=0,"",IF(Tiers!L37&lt;&gt;"public","",IF(AND(Tiers!J37&lt;&gt;"",25&gt;Tiers!J37),"",IF(Tiers!D37="per_seat",  IF(Inputs!$B$8="annual",IF(Tiers!E37="","",Tiers!E37*MAX(25,IF(Tiers!I37="",1,Tiers!I37))),                            IF(Tiers!F37="","",Tiers!F37*MAX(25,IF(Tiers!I37="",1,Tiers!I37)))),IF(Tiers!D37="flat",  IF(Inputs!$B$8="annual",IF(Tiers!G37="","",Tiers!G37/12),                            IF(Tiers!H37="","",Tiers!H37)),""))))))</f>
        <v/>
      </c>
      <c r="F40" s="17" t="str">
        <f aca="false">IF(Tiers!K37="yes","",IF(Model!F37=0,"",IF(Tiers!L37&lt;&gt;"public","",IF(AND(Tiers!J37&lt;&gt;"",50&gt;Tiers!J37),"",IF(Tiers!D37="per_seat",  IF(Inputs!$B$8="annual",IF(Tiers!E37="","",Tiers!E37*MAX(50,IF(Tiers!I37="",1,Tiers!I37))),                            IF(Tiers!F37="","",Tiers!F37*MAX(50,IF(Tiers!I37="",1,Tiers!I37)))),IF(Tiers!D37="flat",  IF(Inputs!$B$8="annual",IF(Tiers!G37="","",Tiers!G37/12),                            IF(Tiers!H37="","",Tiers!H37)),""))))))</f>
        <v/>
      </c>
      <c r="G40" s="17" t="str">
        <f aca="false">IF(Tiers!K37="yes","",IF(Model!F37=0,"",IF(Tiers!L37&lt;&gt;"public","",IF(AND(Tiers!J37&lt;&gt;"",100&gt;Tiers!J37),"",IF(Tiers!D37="per_seat",  IF(Inputs!$B$8="annual",IF(Tiers!E37="","",Tiers!E37*MAX(100,IF(Tiers!I37="",1,Tiers!I37))),                            IF(Tiers!F37="","",Tiers!F37*MAX(100,IF(Tiers!I37="",1,Tiers!I37)))),IF(Tiers!D37="flat",  IF(Inputs!$B$8="annual",IF(Tiers!G37="","",Tiers!G37/12),                            IF(Tiers!H37="","",Tiers!H37)),""))))))</f>
        <v/>
      </c>
      <c r="H40" s="17" t="str">
        <f aca="false">IF(Tiers!K37="yes","",IF(Model!F37=0,"",IF(Tiers!L37&lt;&gt;"public","",IF(AND(Tiers!J37&lt;&gt;"",250&gt;Tiers!J37),"",IF(Tiers!D37="per_seat",  IF(Inputs!$B$8="annual",IF(Tiers!E37="","",Tiers!E37*MAX(250,IF(Tiers!I37="",1,Tiers!I37))),                            IF(Tiers!F37="","",Tiers!F37*MAX(250,IF(Tiers!I37="",1,Tiers!I37)))),IF(Tiers!D37="flat",  IF(Inputs!$B$8="annual",IF(Tiers!G37="","",Tiers!G37/12),                            IF(Tiers!H37="","",Tiers!H37)),""))))))</f>
        <v/>
      </c>
    </row>
    <row r="41" customFormat="false" ht="15" hidden="false" customHeight="false" outlineLevel="0" collapsed="false">
      <c r="A41" s="18" t="str">
        <f aca="false">Tiers!A38</f>
        <v>Wrike</v>
      </c>
      <c r="B41" s="18" t="str">
        <f aca="false">Tiers!B38</f>
        <v>Business</v>
      </c>
      <c r="C41" s="15" t="n">
        <f aca="false">IF(Tiers!K38="yes","",IF(Model!F38=0,"",IF(Tiers!L38&lt;&gt;"public","",IF(AND(Tiers!J38&lt;&gt;"",5&gt;Tiers!J38),"",IF(Tiers!D38="per_seat",  IF(Inputs!$B$8="annual",IF(Tiers!E38="","",Tiers!E38*MAX(5,IF(Tiers!I38="",1,Tiers!I38))),                            IF(Tiers!F38="","",Tiers!F38*MAX(5,IF(Tiers!I38="",1,Tiers!I38)))),IF(Tiers!D38="flat",  IF(Inputs!$B$8="annual",IF(Tiers!G38="","",Tiers!G38/12),                            IF(Tiers!H38="","",Tiers!H38)),""))))))</f>
        <v>125</v>
      </c>
      <c r="D41" s="15" t="n">
        <f aca="false">IF(Tiers!K38="yes","",IF(Model!F38=0,"",IF(Tiers!L38&lt;&gt;"public","",IF(AND(Tiers!J38&lt;&gt;"",10&gt;Tiers!J38),"",IF(Tiers!D38="per_seat",  IF(Inputs!$B$8="annual",IF(Tiers!E38="","",Tiers!E38*MAX(10,IF(Tiers!I38="",1,Tiers!I38))),                            IF(Tiers!F38="","",Tiers!F38*MAX(10,IF(Tiers!I38="",1,Tiers!I38)))),IF(Tiers!D38="flat",  IF(Inputs!$B$8="annual",IF(Tiers!G38="","",Tiers!G38/12),                            IF(Tiers!H38="","",Tiers!H38)),""))))))</f>
        <v>250</v>
      </c>
      <c r="E41" s="15" t="n">
        <f aca="false">IF(Tiers!K38="yes","",IF(Model!F38=0,"",IF(Tiers!L38&lt;&gt;"public","",IF(AND(Tiers!J38&lt;&gt;"",25&gt;Tiers!J38),"",IF(Tiers!D38="per_seat",  IF(Inputs!$B$8="annual",IF(Tiers!E38="","",Tiers!E38*MAX(25,IF(Tiers!I38="",1,Tiers!I38))),                            IF(Tiers!F38="","",Tiers!F38*MAX(25,IF(Tiers!I38="",1,Tiers!I38)))),IF(Tiers!D38="flat",  IF(Inputs!$B$8="annual",IF(Tiers!G38="","",Tiers!G38/12),                            IF(Tiers!H38="","",Tiers!H38)),""))))))</f>
        <v>625</v>
      </c>
      <c r="F41" s="15" t="n">
        <f aca="false">IF(Tiers!K38="yes","",IF(Model!F38=0,"",IF(Tiers!L38&lt;&gt;"public","",IF(AND(Tiers!J38&lt;&gt;"",50&gt;Tiers!J38),"",IF(Tiers!D38="per_seat",  IF(Inputs!$B$8="annual",IF(Tiers!E38="","",Tiers!E38*MAX(50,IF(Tiers!I38="",1,Tiers!I38))),                            IF(Tiers!F38="","",Tiers!F38*MAX(50,IF(Tiers!I38="",1,Tiers!I38)))),IF(Tiers!D38="flat",  IF(Inputs!$B$8="annual",IF(Tiers!G38="","",Tiers!G38/12),                            IF(Tiers!H38="","",Tiers!H38)),""))))))</f>
        <v>1250</v>
      </c>
      <c r="G41" s="15" t="n">
        <f aca="false">IF(Tiers!K38="yes","",IF(Model!F38=0,"",IF(Tiers!L38&lt;&gt;"public","",IF(AND(Tiers!J38&lt;&gt;"",100&gt;Tiers!J38),"",IF(Tiers!D38="per_seat",  IF(Inputs!$B$8="annual",IF(Tiers!E38="","",Tiers!E38*MAX(100,IF(Tiers!I38="",1,Tiers!I38))),                            IF(Tiers!F38="","",Tiers!F38*MAX(100,IF(Tiers!I38="",1,Tiers!I38)))),IF(Tiers!D38="flat",  IF(Inputs!$B$8="annual",IF(Tiers!G38="","",Tiers!G38/12),                            IF(Tiers!H38="","",Tiers!H38)),""))))))</f>
        <v>2500</v>
      </c>
      <c r="H41" s="15" t="str">
        <f aca="false">IF(Tiers!K38="yes","",IF(Model!F38=0,"",IF(Tiers!L38&lt;&gt;"public","",IF(AND(Tiers!J38&lt;&gt;"",250&gt;Tiers!J38),"",IF(Tiers!D38="per_seat",  IF(Inputs!$B$8="annual",IF(Tiers!E38="","",Tiers!E38*MAX(250,IF(Tiers!I38="",1,Tiers!I38))),                            IF(Tiers!F38="","",Tiers!F38*MAX(250,IF(Tiers!I38="",1,Tiers!I38)))),IF(Tiers!D38="flat",  IF(Inputs!$B$8="annual",IF(Tiers!G38="","",Tiers!G38/12),                            IF(Tiers!H38="","",Tiers!H38)),""))))))</f>
        <v/>
      </c>
    </row>
    <row r="42" customFormat="false" ht="15" hidden="false" customHeight="false" outlineLevel="0" collapsed="false">
      <c r="A42" s="20" t="str">
        <f aca="false">Tiers!A39</f>
        <v>Wrike</v>
      </c>
      <c r="B42" s="20" t="str">
        <f aca="false">Tiers!B39</f>
        <v>Pinnacle</v>
      </c>
      <c r="C42" s="17" t="str">
        <f aca="false">IF(Tiers!K39="yes","",IF(Model!F39=0,"",IF(Tiers!L39&lt;&gt;"public","",IF(AND(Tiers!J39&lt;&gt;"",5&gt;Tiers!J39),"",IF(Tiers!D39="per_seat",  IF(Inputs!$B$8="annual",IF(Tiers!E39="","",Tiers!E39*MAX(5,IF(Tiers!I39="",1,Tiers!I39))),                            IF(Tiers!F39="","",Tiers!F39*MAX(5,IF(Tiers!I39="",1,Tiers!I39)))),IF(Tiers!D39="flat",  IF(Inputs!$B$8="annual",IF(Tiers!G39="","",Tiers!G39/12),                            IF(Tiers!H39="","",Tiers!H39)),""))))))</f>
        <v/>
      </c>
      <c r="D42" s="17" t="str">
        <f aca="false">IF(Tiers!K39="yes","",IF(Model!F39=0,"",IF(Tiers!L39&lt;&gt;"public","",IF(AND(Tiers!J39&lt;&gt;"",10&gt;Tiers!J39),"",IF(Tiers!D39="per_seat",  IF(Inputs!$B$8="annual",IF(Tiers!E39="","",Tiers!E39*MAX(10,IF(Tiers!I39="",1,Tiers!I39))),                            IF(Tiers!F39="","",Tiers!F39*MAX(10,IF(Tiers!I39="",1,Tiers!I39)))),IF(Tiers!D39="flat",  IF(Inputs!$B$8="annual",IF(Tiers!G39="","",Tiers!G39/12),                            IF(Tiers!H39="","",Tiers!H39)),""))))))</f>
        <v/>
      </c>
      <c r="E42" s="17" t="str">
        <f aca="false">IF(Tiers!K39="yes","",IF(Model!F39=0,"",IF(Tiers!L39&lt;&gt;"public","",IF(AND(Tiers!J39&lt;&gt;"",25&gt;Tiers!J39),"",IF(Tiers!D39="per_seat",  IF(Inputs!$B$8="annual",IF(Tiers!E39="","",Tiers!E39*MAX(25,IF(Tiers!I39="",1,Tiers!I39))),                            IF(Tiers!F39="","",Tiers!F39*MAX(25,IF(Tiers!I39="",1,Tiers!I39)))),IF(Tiers!D39="flat",  IF(Inputs!$B$8="annual",IF(Tiers!G39="","",Tiers!G39/12),                            IF(Tiers!H39="","",Tiers!H39)),""))))))</f>
        <v/>
      </c>
      <c r="F42" s="17" t="str">
        <f aca="false">IF(Tiers!K39="yes","",IF(Model!F39=0,"",IF(Tiers!L39&lt;&gt;"public","",IF(AND(Tiers!J39&lt;&gt;"",50&gt;Tiers!J39),"",IF(Tiers!D39="per_seat",  IF(Inputs!$B$8="annual",IF(Tiers!E39="","",Tiers!E39*MAX(50,IF(Tiers!I39="",1,Tiers!I39))),                            IF(Tiers!F39="","",Tiers!F39*MAX(50,IF(Tiers!I39="",1,Tiers!I39)))),IF(Tiers!D39="flat",  IF(Inputs!$B$8="annual",IF(Tiers!G39="","",Tiers!G39/12),                            IF(Tiers!H39="","",Tiers!H39)),""))))))</f>
        <v/>
      </c>
      <c r="G42" s="17" t="str">
        <f aca="false">IF(Tiers!K39="yes","",IF(Model!F39=0,"",IF(Tiers!L39&lt;&gt;"public","",IF(AND(Tiers!J39&lt;&gt;"",100&gt;Tiers!J39),"",IF(Tiers!D39="per_seat",  IF(Inputs!$B$8="annual",IF(Tiers!E39="","",Tiers!E39*MAX(100,IF(Tiers!I39="",1,Tiers!I39))),                            IF(Tiers!F39="","",Tiers!F39*MAX(100,IF(Tiers!I39="",1,Tiers!I39)))),IF(Tiers!D39="flat",  IF(Inputs!$B$8="annual",IF(Tiers!G39="","",Tiers!G39/12),                            IF(Tiers!H39="","",Tiers!H39)),""))))))</f>
        <v/>
      </c>
      <c r="H42" s="17" t="str">
        <f aca="false">IF(Tiers!K39="yes","",IF(Model!F39=0,"",IF(Tiers!L39&lt;&gt;"public","",IF(AND(Tiers!J39&lt;&gt;"",250&gt;Tiers!J39),"",IF(Tiers!D39="per_seat",  IF(Inputs!$B$8="annual",IF(Tiers!E39="","",Tiers!E39*MAX(250,IF(Tiers!I39="",1,Tiers!I39))),                            IF(Tiers!F39="","",Tiers!F39*MAX(250,IF(Tiers!I39="",1,Tiers!I39)))),IF(Tiers!D39="flat",  IF(Inputs!$B$8="annual",IF(Tiers!G39="","",Tiers!G39/12),                            IF(Tiers!H39="","",Tiers!H39)),""))))))</f>
        <v/>
      </c>
    </row>
    <row r="43" customFormat="false" ht="15" hidden="false" customHeight="false" outlineLevel="0" collapsed="false">
      <c r="A43" s="18" t="str">
        <f aca="false">Tiers!A40</f>
        <v>Wrike</v>
      </c>
      <c r="B43" s="18" t="str">
        <f aca="false">Tiers!B40</f>
        <v>Apex</v>
      </c>
      <c r="C43" s="15" t="str">
        <f aca="false">IF(Tiers!K40="yes","",IF(Model!F40=0,"",IF(Tiers!L40&lt;&gt;"public","",IF(AND(Tiers!J40&lt;&gt;"",5&gt;Tiers!J40),"",IF(Tiers!D40="per_seat",  IF(Inputs!$B$8="annual",IF(Tiers!E40="","",Tiers!E40*MAX(5,IF(Tiers!I40="",1,Tiers!I40))),                            IF(Tiers!F40="","",Tiers!F40*MAX(5,IF(Tiers!I40="",1,Tiers!I40)))),IF(Tiers!D40="flat",  IF(Inputs!$B$8="annual",IF(Tiers!G40="","",Tiers!G40/12),                            IF(Tiers!H40="","",Tiers!H40)),""))))))</f>
        <v/>
      </c>
      <c r="D43" s="15" t="str">
        <f aca="false">IF(Tiers!K40="yes","",IF(Model!F40=0,"",IF(Tiers!L40&lt;&gt;"public","",IF(AND(Tiers!J40&lt;&gt;"",10&gt;Tiers!J40),"",IF(Tiers!D40="per_seat",  IF(Inputs!$B$8="annual",IF(Tiers!E40="","",Tiers!E40*MAX(10,IF(Tiers!I40="",1,Tiers!I40))),                            IF(Tiers!F40="","",Tiers!F40*MAX(10,IF(Tiers!I40="",1,Tiers!I40)))),IF(Tiers!D40="flat",  IF(Inputs!$B$8="annual",IF(Tiers!G40="","",Tiers!G40/12),                            IF(Tiers!H40="","",Tiers!H40)),""))))))</f>
        <v/>
      </c>
      <c r="E43" s="15" t="str">
        <f aca="false">IF(Tiers!K40="yes","",IF(Model!F40=0,"",IF(Tiers!L40&lt;&gt;"public","",IF(AND(Tiers!J40&lt;&gt;"",25&gt;Tiers!J40),"",IF(Tiers!D40="per_seat",  IF(Inputs!$B$8="annual",IF(Tiers!E40="","",Tiers!E40*MAX(25,IF(Tiers!I40="",1,Tiers!I40))),                            IF(Tiers!F40="","",Tiers!F40*MAX(25,IF(Tiers!I40="",1,Tiers!I40)))),IF(Tiers!D40="flat",  IF(Inputs!$B$8="annual",IF(Tiers!G40="","",Tiers!G40/12),                            IF(Tiers!H40="","",Tiers!H40)),""))))))</f>
        <v/>
      </c>
      <c r="F43" s="15" t="str">
        <f aca="false">IF(Tiers!K40="yes","",IF(Model!F40=0,"",IF(Tiers!L40&lt;&gt;"public","",IF(AND(Tiers!J40&lt;&gt;"",50&gt;Tiers!J40),"",IF(Tiers!D40="per_seat",  IF(Inputs!$B$8="annual",IF(Tiers!E40="","",Tiers!E40*MAX(50,IF(Tiers!I40="",1,Tiers!I40))),                            IF(Tiers!F40="","",Tiers!F40*MAX(50,IF(Tiers!I40="",1,Tiers!I40)))),IF(Tiers!D40="flat",  IF(Inputs!$B$8="annual",IF(Tiers!G40="","",Tiers!G40/12),                            IF(Tiers!H40="","",Tiers!H40)),""))))))</f>
        <v/>
      </c>
      <c r="G43" s="15" t="str">
        <f aca="false">IF(Tiers!K40="yes","",IF(Model!F40=0,"",IF(Tiers!L40&lt;&gt;"public","",IF(AND(Tiers!J40&lt;&gt;"",100&gt;Tiers!J40),"",IF(Tiers!D40="per_seat",  IF(Inputs!$B$8="annual",IF(Tiers!E40="","",Tiers!E40*MAX(100,IF(Tiers!I40="",1,Tiers!I40))),                            IF(Tiers!F40="","",Tiers!F40*MAX(100,IF(Tiers!I40="",1,Tiers!I40)))),IF(Tiers!D40="flat",  IF(Inputs!$B$8="annual",IF(Tiers!G40="","",Tiers!G40/12),                            IF(Tiers!H40="","",Tiers!H40)),""))))))</f>
        <v/>
      </c>
      <c r="H43" s="15" t="str">
        <f aca="false">IF(Tiers!K40="yes","",IF(Model!F40=0,"",IF(Tiers!L40&lt;&gt;"public","",IF(AND(Tiers!J40&lt;&gt;"",250&gt;Tiers!J40),"",IF(Tiers!D40="per_seat",  IF(Inputs!$B$8="annual",IF(Tiers!E40="","",Tiers!E40*MAX(250,IF(Tiers!I40="",1,Tiers!I40))),                            IF(Tiers!F40="","",Tiers!F40*MAX(250,IF(Tiers!I40="",1,Tiers!I40)))),IF(Tiers!D40="flat",  IF(Inputs!$B$8="annual",IF(Tiers!G40="","",Tiers!G40/12),                            IF(Tiers!H40="","",Tiers!H40)),""))))))</f>
        <v/>
      </c>
    </row>
    <row r="44" customFormat="false" ht="15" hidden="false" customHeight="false" outlineLevel="0" collapsed="false">
      <c r="A44" s="20" t="str">
        <f aca="false">Tiers!A41</f>
        <v>Teamwork.com</v>
      </c>
      <c r="B44" s="20" t="str">
        <f aca="false">Tiers!B41</f>
        <v>Free</v>
      </c>
      <c r="C44" s="17" t="str">
        <f aca="false">IF(Tiers!K41="yes","",IF(Model!F41=0,"",IF(Tiers!L41&lt;&gt;"public","",IF(AND(Tiers!J41&lt;&gt;"",5&gt;Tiers!J41),"",IF(Tiers!D41="per_seat",  IF(Inputs!$B$8="annual",IF(Tiers!E41="","",Tiers!E41*MAX(5,IF(Tiers!I41="",1,Tiers!I41))),                            IF(Tiers!F41="","",Tiers!F41*MAX(5,IF(Tiers!I41="",1,Tiers!I41)))),IF(Tiers!D41="flat",  IF(Inputs!$B$8="annual",IF(Tiers!G41="","",Tiers!G41/12),                            IF(Tiers!H41="","",Tiers!H41)),""))))))</f>
        <v/>
      </c>
      <c r="D44" s="17" t="str">
        <f aca="false">IF(Tiers!K41="yes","",IF(Model!F41=0,"",IF(Tiers!L41&lt;&gt;"public","",IF(AND(Tiers!J41&lt;&gt;"",10&gt;Tiers!J41),"",IF(Tiers!D41="per_seat",  IF(Inputs!$B$8="annual",IF(Tiers!E41="","",Tiers!E41*MAX(10,IF(Tiers!I41="",1,Tiers!I41))),                            IF(Tiers!F41="","",Tiers!F41*MAX(10,IF(Tiers!I41="",1,Tiers!I41)))),IF(Tiers!D41="flat",  IF(Inputs!$B$8="annual",IF(Tiers!G41="","",Tiers!G41/12),                            IF(Tiers!H41="","",Tiers!H41)),""))))))</f>
        <v/>
      </c>
      <c r="E44" s="17" t="str">
        <f aca="false">IF(Tiers!K41="yes","",IF(Model!F41=0,"",IF(Tiers!L41&lt;&gt;"public","",IF(AND(Tiers!J41&lt;&gt;"",25&gt;Tiers!J41),"",IF(Tiers!D41="per_seat",  IF(Inputs!$B$8="annual",IF(Tiers!E41="","",Tiers!E41*MAX(25,IF(Tiers!I41="",1,Tiers!I41))),                            IF(Tiers!F41="","",Tiers!F41*MAX(25,IF(Tiers!I41="",1,Tiers!I41)))),IF(Tiers!D41="flat",  IF(Inputs!$B$8="annual",IF(Tiers!G41="","",Tiers!G41/12),                            IF(Tiers!H41="","",Tiers!H41)),""))))))</f>
        <v/>
      </c>
      <c r="F44" s="17" t="str">
        <f aca="false">IF(Tiers!K41="yes","",IF(Model!F41=0,"",IF(Tiers!L41&lt;&gt;"public","",IF(AND(Tiers!J41&lt;&gt;"",50&gt;Tiers!J41),"",IF(Tiers!D41="per_seat",  IF(Inputs!$B$8="annual",IF(Tiers!E41="","",Tiers!E41*MAX(50,IF(Tiers!I41="",1,Tiers!I41))),                            IF(Tiers!F41="","",Tiers!F41*MAX(50,IF(Tiers!I41="",1,Tiers!I41)))),IF(Tiers!D41="flat",  IF(Inputs!$B$8="annual",IF(Tiers!G41="","",Tiers!G41/12),                            IF(Tiers!H41="","",Tiers!H41)),""))))))</f>
        <v/>
      </c>
      <c r="G44" s="17" t="str">
        <f aca="false">IF(Tiers!K41="yes","",IF(Model!F41=0,"",IF(Tiers!L41&lt;&gt;"public","",IF(AND(Tiers!J41&lt;&gt;"",100&gt;Tiers!J41),"",IF(Tiers!D41="per_seat",  IF(Inputs!$B$8="annual",IF(Tiers!E41="","",Tiers!E41*MAX(100,IF(Tiers!I41="",1,Tiers!I41))),                            IF(Tiers!F41="","",Tiers!F41*MAX(100,IF(Tiers!I41="",1,Tiers!I41)))),IF(Tiers!D41="flat",  IF(Inputs!$B$8="annual",IF(Tiers!G41="","",Tiers!G41/12),                            IF(Tiers!H41="","",Tiers!H41)),""))))))</f>
        <v/>
      </c>
      <c r="H44" s="17" t="str">
        <f aca="false">IF(Tiers!K41="yes","",IF(Model!F41=0,"",IF(Tiers!L41&lt;&gt;"public","",IF(AND(Tiers!J41&lt;&gt;"",250&gt;Tiers!J41),"",IF(Tiers!D41="per_seat",  IF(Inputs!$B$8="annual",IF(Tiers!E41="","",Tiers!E41*MAX(250,IF(Tiers!I41="",1,Tiers!I41))),                            IF(Tiers!F41="","",Tiers!F41*MAX(250,IF(Tiers!I41="",1,Tiers!I41)))),IF(Tiers!D41="flat",  IF(Inputs!$B$8="annual",IF(Tiers!G41="","",Tiers!G41/12),                            IF(Tiers!H41="","",Tiers!H41)),""))))))</f>
        <v/>
      </c>
    </row>
    <row r="45" customFormat="false" ht="15" hidden="false" customHeight="false" outlineLevel="0" collapsed="false">
      <c r="A45" s="18" t="str">
        <f aca="false">Tiers!A42</f>
        <v>Teamwork.com</v>
      </c>
      <c r="B45" s="18" t="str">
        <f aca="false">Tiers!B42</f>
        <v>Basics</v>
      </c>
      <c r="C45" s="15" t="n">
        <f aca="false">IF(Tiers!K42="yes","",IF(Model!F42=0,"",IF(Tiers!L42&lt;&gt;"public","",IF(AND(Tiers!J42&lt;&gt;"",5&gt;Tiers!J42),"",IF(Tiers!D42="per_seat",  IF(Inputs!$B$8="annual",IF(Tiers!E42="","",Tiers!E42*MAX(5,IF(Tiers!I42="",1,Tiers!I42))),                            IF(Tiers!F42="","",Tiers!F42*MAX(5,IF(Tiers!I42="",1,Tiers!I42)))),IF(Tiers!D42="flat",  IF(Inputs!$B$8="annual",IF(Tiers!G42="","",Tiers!G42/12),                            IF(Tiers!H42="","",Tiers!H42)),""))))))</f>
        <v>49.95</v>
      </c>
      <c r="D45" s="15" t="n">
        <f aca="false">IF(Tiers!K42="yes","",IF(Model!F42=0,"",IF(Tiers!L42&lt;&gt;"public","",IF(AND(Tiers!J42&lt;&gt;"",10&gt;Tiers!J42),"",IF(Tiers!D42="per_seat",  IF(Inputs!$B$8="annual",IF(Tiers!E42="","",Tiers!E42*MAX(10,IF(Tiers!I42="",1,Tiers!I42))),                            IF(Tiers!F42="","",Tiers!F42*MAX(10,IF(Tiers!I42="",1,Tiers!I42)))),IF(Tiers!D42="flat",  IF(Inputs!$B$8="annual",IF(Tiers!G42="","",Tiers!G42/12),                            IF(Tiers!H42="","",Tiers!H42)),""))))))</f>
        <v>99.9</v>
      </c>
      <c r="E45" s="15" t="n">
        <f aca="false">IF(Tiers!K42="yes","",IF(Model!F42=0,"",IF(Tiers!L42&lt;&gt;"public","",IF(AND(Tiers!J42&lt;&gt;"",25&gt;Tiers!J42),"",IF(Tiers!D42="per_seat",  IF(Inputs!$B$8="annual",IF(Tiers!E42="","",Tiers!E42*MAX(25,IF(Tiers!I42="",1,Tiers!I42))),                            IF(Tiers!F42="","",Tiers!F42*MAX(25,IF(Tiers!I42="",1,Tiers!I42)))),IF(Tiers!D42="flat",  IF(Inputs!$B$8="annual",IF(Tiers!G42="","",Tiers!G42/12),                            IF(Tiers!H42="","",Tiers!H42)),""))))))</f>
        <v>249.75</v>
      </c>
      <c r="F45" s="15" t="n">
        <f aca="false">IF(Tiers!K42="yes","",IF(Model!F42=0,"",IF(Tiers!L42&lt;&gt;"public","",IF(AND(Tiers!J42&lt;&gt;"",50&gt;Tiers!J42),"",IF(Tiers!D42="per_seat",  IF(Inputs!$B$8="annual",IF(Tiers!E42="","",Tiers!E42*MAX(50,IF(Tiers!I42="",1,Tiers!I42))),                            IF(Tiers!F42="","",Tiers!F42*MAX(50,IF(Tiers!I42="",1,Tiers!I42)))),IF(Tiers!D42="flat",  IF(Inputs!$B$8="annual",IF(Tiers!G42="","",Tiers!G42/12),                            IF(Tiers!H42="","",Tiers!H42)),""))))))</f>
        <v>499.5</v>
      </c>
      <c r="G45" s="15" t="n">
        <f aca="false">IF(Tiers!K42="yes","",IF(Model!F42=0,"",IF(Tiers!L42&lt;&gt;"public","",IF(AND(Tiers!J42&lt;&gt;"",100&gt;Tiers!J42),"",IF(Tiers!D42="per_seat",  IF(Inputs!$B$8="annual",IF(Tiers!E42="","",Tiers!E42*MAX(100,IF(Tiers!I42="",1,Tiers!I42))),                            IF(Tiers!F42="","",Tiers!F42*MAX(100,IF(Tiers!I42="",1,Tiers!I42)))),IF(Tiers!D42="flat",  IF(Inputs!$B$8="annual",IF(Tiers!G42="","",Tiers!G42/12),                            IF(Tiers!H42="","",Tiers!H42)),""))))))</f>
        <v>999</v>
      </c>
      <c r="H45" s="15" t="n">
        <f aca="false">IF(Tiers!K42="yes","",IF(Model!F42=0,"",IF(Tiers!L42&lt;&gt;"public","",IF(AND(Tiers!J42&lt;&gt;"",250&gt;Tiers!J42),"",IF(Tiers!D42="per_seat",  IF(Inputs!$B$8="annual",IF(Tiers!E42="","",Tiers!E42*MAX(250,IF(Tiers!I42="",1,Tiers!I42))),                            IF(Tiers!F42="","",Tiers!F42*MAX(250,IF(Tiers!I42="",1,Tiers!I42)))),IF(Tiers!D42="flat",  IF(Inputs!$B$8="annual",IF(Tiers!G42="","",Tiers!G42/12),                            IF(Tiers!H42="","",Tiers!H42)),""))))))</f>
        <v>2497.5</v>
      </c>
    </row>
    <row r="46" customFormat="false" ht="15" hidden="false" customHeight="false" outlineLevel="0" collapsed="false">
      <c r="A46" s="20" t="str">
        <f aca="false">Tiers!A43</f>
        <v>Teamwork.com</v>
      </c>
      <c r="B46" s="20" t="str">
        <f aca="false">Tiers!B43</f>
        <v>Accelerate</v>
      </c>
      <c r="C46" s="17" t="n">
        <f aca="false">IF(Tiers!K43="yes","",IF(Model!F43=0,"",IF(Tiers!L43&lt;&gt;"public","",IF(AND(Tiers!J43&lt;&gt;"",5&gt;Tiers!J43),"",IF(Tiers!D43="per_seat",  IF(Inputs!$B$8="annual",IF(Tiers!E43="","",Tiers!E43*MAX(5,IF(Tiers!I43="",1,Tiers!I43))),                            IF(Tiers!F43="","",Tiers!F43*MAX(5,IF(Tiers!I43="",1,Tiers!I43)))),IF(Tiers!D43="flat",  IF(Inputs!$B$8="annual",IF(Tiers!G43="","",Tiers!G43/12),                            IF(Tiers!H43="","",Tiers!H43)),""))))))</f>
        <v>124.95</v>
      </c>
      <c r="D46" s="17" t="n">
        <f aca="false">IF(Tiers!K43="yes","",IF(Model!F43=0,"",IF(Tiers!L43&lt;&gt;"public","",IF(AND(Tiers!J43&lt;&gt;"",10&gt;Tiers!J43),"",IF(Tiers!D43="per_seat",  IF(Inputs!$B$8="annual",IF(Tiers!E43="","",Tiers!E43*MAX(10,IF(Tiers!I43="",1,Tiers!I43))),                            IF(Tiers!F43="","",Tiers!F43*MAX(10,IF(Tiers!I43="",1,Tiers!I43)))),IF(Tiers!D43="flat",  IF(Inputs!$B$8="annual",IF(Tiers!G43="","",Tiers!G43/12),                            IF(Tiers!H43="","",Tiers!H43)),""))))))</f>
        <v>249.9</v>
      </c>
      <c r="E46" s="17" t="n">
        <f aca="false">IF(Tiers!K43="yes","",IF(Model!F43=0,"",IF(Tiers!L43&lt;&gt;"public","",IF(AND(Tiers!J43&lt;&gt;"",25&gt;Tiers!J43),"",IF(Tiers!D43="per_seat",  IF(Inputs!$B$8="annual",IF(Tiers!E43="","",Tiers!E43*MAX(25,IF(Tiers!I43="",1,Tiers!I43))),                            IF(Tiers!F43="","",Tiers!F43*MAX(25,IF(Tiers!I43="",1,Tiers!I43)))),IF(Tiers!D43="flat",  IF(Inputs!$B$8="annual",IF(Tiers!G43="","",Tiers!G43/12),                            IF(Tiers!H43="","",Tiers!H43)),""))))))</f>
        <v>624.75</v>
      </c>
      <c r="F46" s="17" t="n">
        <f aca="false">IF(Tiers!K43="yes","",IF(Model!F43=0,"",IF(Tiers!L43&lt;&gt;"public","",IF(AND(Tiers!J43&lt;&gt;"",50&gt;Tiers!J43),"",IF(Tiers!D43="per_seat",  IF(Inputs!$B$8="annual",IF(Tiers!E43="","",Tiers!E43*MAX(50,IF(Tiers!I43="",1,Tiers!I43))),                            IF(Tiers!F43="","",Tiers!F43*MAX(50,IF(Tiers!I43="",1,Tiers!I43)))),IF(Tiers!D43="flat",  IF(Inputs!$B$8="annual",IF(Tiers!G43="","",Tiers!G43/12),                            IF(Tiers!H43="","",Tiers!H43)),""))))))</f>
        <v>1249.5</v>
      </c>
      <c r="G46" s="17" t="n">
        <f aca="false">IF(Tiers!K43="yes","",IF(Model!F43=0,"",IF(Tiers!L43&lt;&gt;"public","",IF(AND(Tiers!J43&lt;&gt;"",100&gt;Tiers!J43),"",IF(Tiers!D43="per_seat",  IF(Inputs!$B$8="annual",IF(Tiers!E43="","",Tiers!E43*MAX(100,IF(Tiers!I43="",1,Tiers!I43))),                            IF(Tiers!F43="","",Tiers!F43*MAX(100,IF(Tiers!I43="",1,Tiers!I43)))),IF(Tiers!D43="flat",  IF(Inputs!$B$8="annual",IF(Tiers!G43="","",Tiers!G43/12),                            IF(Tiers!H43="","",Tiers!H43)),""))))))</f>
        <v>2499</v>
      </c>
      <c r="H46" s="17" t="n">
        <f aca="false">IF(Tiers!K43="yes","",IF(Model!F43=0,"",IF(Tiers!L43&lt;&gt;"public","",IF(AND(Tiers!J43&lt;&gt;"",250&gt;Tiers!J43),"",IF(Tiers!D43="per_seat",  IF(Inputs!$B$8="annual",IF(Tiers!E43="","",Tiers!E43*MAX(250,IF(Tiers!I43="",1,Tiers!I43))),                            IF(Tiers!F43="","",Tiers!F43*MAX(250,IF(Tiers!I43="",1,Tiers!I43)))),IF(Tiers!D43="flat",  IF(Inputs!$B$8="annual",IF(Tiers!G43="","",Tiers!G43/12),                            IF(Tiers!H43="","",Tiers!H43)),""))))))</f>
        <v>6247.5</v>
      </c>
    </row>
    <row r="47" customFormat="false" ht="15" hidden="false" customHeight="false" outlineLevel="0" collapsed="false">
      <c r="A47" s="18" t="str">
        <f aca="false">Tiers!A44</f>
        <v>Teamwork.com</v>
      </c>
      <c r="B47" s="18" t="str">
        <f aca="false">Tiers!B44</f>
        <v>Optimize</v>
      </c>
      <c r="C47" s="15" t="str">
        <f aca="false">IF(Tiers!K44="yes","",IF(Model!F44=0,"",IF(Tiers!L44&lt;&gt;"public","",IF(AND(Tiers!J44&lt;&gt;"",5&gt;Tiers!J44),"",IF(Tiers!D44="per_seat",  IF(Inputs!$B$8="annual",IF(Tiers!E44="","",Tiers!E44*MAX(5,IF(Tiers!I44="",1,Tiers!I44))),                            IF(Tiers!F44="","",Tiers!F44*MAX(5,IF(Tiers!I44="",1,Tiers!I44)))),IF(Tiers!D44="flat",  IF(Inputs!$B$8="annual",IF(Tiers!G44="","",Tiers!G44/12),                            IF(Tiers!H44="","",Tiers!H44)),""))))))</f>
        <v/>
      </c>
      <c r="D47" s="15" t="str">
        <f aca="false">IF(Tiers!K44="yes","",IF(Model!F44=0,"",IF(Tiers!L44&lt;&gt;"public","",IF(AND(Tiers!J44&lt;&gt;"",10&gt;Tiers!J44),"",IF(Tiers!D44="per_seat",  IF(Inputs!$B$8="annual",IF(Tiers!E44="","",Tiers!E44*MAX(10,IF(Tiers!I44="",1,Tiers!I44))),                            IF(Tiers!F44="","",Tiers!F44*MAX(10,IF(Tiers!I44="",1,Tiers!I44)))),IF(Tiers!D44="flat",  IF(Inputs!$B$8="annual",IF(Tiers!G44="","",Tiers!G44/12),                            IF(Tiers!H44="","",Tiers!H44)),""))))))</f>
        <v/>
      </c>
      <c r="E47" s="15" t="str">
        <f aca="false">IF(Tiers!K44="yes","",IF(Model!F44=0,"",IF(Tiers!L44&lt;&gt;"public","",IF(AND(Tiers!J44&lt;&gt;"",25&gt;Tiers!J44),"",IF(Tiers!D44="per_seat",  IF(Inputs!$B$8="annual",IF(Tiers!E44="","",Tiers!E44*MAX(25,IF(Tiers!I44="",1,Tiers!I44))),                            IF(Tiers!F44="","",Tiers!F44*MAX(25,IF(Tiers!I44="",1,Tiers!I44)))),IF(Tiers!D44="flat",  IF(Inputs!$B$8="annual",IF(Tiers!G44="","",Tiers!G44/12),                            IF(Tiers!H44="","",Tiers!H44)),""))))))</f>
        <v/>
      </c>
      <c r="F47" s="15" t="str">
        <f aca="false">IF(Tiers!K44="yes","",IF(Model!F44=0,"",IF(Tiers!L44&lt;&gt;"public","",IF(AND(Tiers!J44&lt;&gt;"",50&gt;Tiers!J44),"",IF(Tiers!D44="per_seat",  IF(Inputs!$B$8="annual",IF(Tiers!E44="","",Tiers!E44*MAX(50,IF(Tiers!I44="",1,Tiers!I44))),                            IF(Tiers!F44="","",Tiers!F44*MAX(50,IF(Tiers!I44="",1,Tiers!I44)))),IF(Tiers!D44="flat",  IF(Inputs!$B$8="annual",IF(Tiers!G44="","",Tiers!G44/12),                            IF(Tiers!H44="","",Tiers!H44)),""))))))</f>
        <v/>
      </c>
      <c r="G47" s="15" t="str">
        <f aca="false">IF(Tiers!K44="yes","",IF(Model!F44=0,"",IF(Tiers!L44&lt;&gt;"public","",IF(AND(Tiers!J44&lt;&gt;"",100&gt;Tiers!J44),"",IF(Tiers!D44="per_seat",  IF(Inputs!$B$8="annual",IF(Tiers!E44="","",Tiers!E44*MAX(100,IF(Tiers!I44="",1,Tiers!I44))),                            IF(Tiers!F44="","",Tiers!F44*MAX(100,IF(Tiers!I44="",1,Tiers!I44)))),IF(Tiers!D44="flat",  IF(Inputs!$B$8="annual",IF(Tiers!G44="","",Tiers!G44/12),                            IF(Tiers!H44="","",Tiers!H44)),""))))))</f>
        <v/>
      </c>
      <c r="H47" s="15" t="str">
        <f aca="false">IF(Tiers!K44="yes","",IF(Model!F44=0,"",IF(Tiers!L44&lt;&gt;"public","",IF(AND(Tiers!J44&lt;&gt;"",250&gt;Tiers!J44),"",IF(Tiers!D44="per_seat",  IF(Inputs!$B$8="annual",IF(Tiers!E44="","",Tiers!E44*MAX(250,IF(Tiers!I44="",1,Tiers!I44))),                            IF(Tiers!F44="","",Tiers!F44*MAX(250,IF(Tiers!I44="",1,Tiers!I44)))),IF(Tiers!D44="flat",  IF(Inputs!$B$8="annual",IF(Tiers!G44="","",Tiers!G44/12),                            IF(Tiers!H44="","",Tiers!H44)),""))))))</f>
        <v/>
      </c>
    </row>
    <row r="48" customFormat="false" ht="15" hidden="false" customHeight="false" outlineLevel="0" collapsed="false">
      <c r="A48" s="20" t="str">
        <f aca="false">Tiers!A45</f>
        <v>Teamwork.com</v>
      </c>
      <c r="B48" s="20" t="str">
        <f aca="false">Tiers!B45</f>
        <v>Enterprise</v>
      </c>
      <c r="C48" s="17" t="str">
        <f aca="false">IF(Tiers!K45="yes","",IF(Model!F45=0,"",IF(Tiers!L45&lt;&gt;"public","",IF(AND(Tiers!J45&lt;&gt;"",5&gt;Tiers!J45),"",IF(Tiers!D45="per_seat",  IF(Inputs!$B$8="annual",IF(Tiers!E45="","",Tiers!E45*MAX(5,IF(Tiers!I45="",1,Tiers!I45))),                            IF(Tiers!F45="","",Tiers!F45*MAX(5,IF(Tiers!I45="",1,Tiers!I45)))),IF(Tiers!D45="flat",  IF(Inputs!$B$8="annual",IF(Tiers!G45="","",Tiers!G45/12),                            IF(Tiers!H45="","",Tiers!H45)),""))))))</f>
        <v/>
      </c>
      <c r="D48" s="17" t="str">
        <f aca="false">IF(Tiers!K45="yes","",IF(Model!F45=0,"",IF(Tiers!L45&lt;&gt;"public","",IF(AND(Tiers!J45&lt;&gt;"",10&gt;Tiers!J45),"",IF(Tiers!D45="per_seat",  IF(Inputs!$B$8="annual",IF(Tiers!E45="","",Tiers!E45*MAX(10,IF(Tiers!I45="",1,Tiers!I45))),                            IF(Tiers!F45="","",Tiers!F45*MAX(10,IF(Tiers!I45="",1,Tiers!I45)))),IF(Tiers!D45="flat",  IF(Inputs!$B$8="annual",IF(Tiers!G45="","",Tiers!G45/12),                            IF(Tiers!H45="","",Tiers!H45)),""))))))</f>
        <v/>
      </c>
      <c r="E48" s="17" t="str">
        <f aca="false">IF(Tiers!K45="yes","",IF(Model!F45=0,"",IF(Tiers!L45&lt;&gt;"public","",IF(AND(Tiers!J45&lt;&gt;"",25&gt;Tiers!J45),"",IF(Tiers!D45="per_seat",  IF(Inputs!$B$8="annual",IF(Tiers!E45="","",Tiers!E45*MAX(25,IF(Tiers!I45="",1,Tiers!I45))),                            IF(Tiers!F45="","",Tiers!F45*MAX(25,IF(Tiers!I45="",1,Tiers!I45)))),IF(Tiers!D45="flat",  IF(Inputs!$B$8="annual",IF(Tiers!G45="","",Tiers!G45/12),                            IF(Tiers!H45="","",Tiers!H45)),""))))))</f>
        <v/>
      </c>
      <c r="F48" s="17" t="str">
        <f aca="false">IF(Tiers!K45="yes","",IF(Model!F45=0,"",IF(Tiers!L45&lt;&gt;"public","",IF(AND(Tiers!J45&lt;&gt;"",50&gt;Tiers!J45),"",IF(Tiers!D45="per_seat",  IF(Inputs!$B$8="annual",IF(Tiers!E45="","",Tiers!E45*MAX(50,IF(Tiers!I45="",1,Tiers!I45))),                            IF(Tiers!F45="","",Tiers!F45*MAX(50,IF(Tiers!I45="",1,Tiers!I45)))),IF(Tiers!D45="flat",  IF(Inputs!$B$8="annual",IF(Tiers!G45="","",Tiers!G45/12),                            IF(Tiers!H45="","",Tiers!H45)),""))))))</f>
        <v/>
      </c>
      <c r="G48" s="17" t="str">
        <f aca="false">IF(Tiers!K45="yes","",IF(Model!F45=0,"",IF(Tiers!L45&lt;&gt;"public","",IF(AND(Tiers!J45&lt;&gt;"",100&gt;Tiers!J45),"",IF(Tiers!D45="per_seat",  IF(Inputs!$B$8="annual",IF(Tiers!E45="","",Tiers!E45*MAX(100,IF(Tiers!I45="",1,Tiers!I45))),                            IF(Tiers!F45="","",Tiers!F45*MAX(100,IF(Tiers!I45="",1,Tiers!I45)))),IF(Tiers!D45="flat",  IF(Inputs!$B$8="annual",IF(Tiers!G45="","",Tiers!G45/12),                            IF(Tiers!H45="","",Tiers!H45)),""))))))</f>
        <v/>
      </c>
      <c r="H48" s="17" t="str">
        <f aca="false">IF(Tiers!K45="yes","",IF(Model!F45=0,"",IF(Tiers!L45&lt;&gt;"public","",IF(AND(Tiers!J45&lt;&gt;"",250&gt;Tiers!J45),"",IF(Tiers!D45="per_seat",  IF(Inputs!$B$8="annual",IF(Tiers!E45="","",Tiers!E45*MAX(250,IF(Tiers!I45="",1,Tiers!I45))),                            IF(Tiers!F45="","",Tiers!F45*MAX(250,IF(Tiers!I45="",1,Tiers!I45)))),IF(Tiers!D45="flat",  IF(Inputs!$B$8="annual",IF(Tiers!G45="","",Tiers!G45/12),                            IF(Tiers!H45="","",Tiers!H45)),""))))))</f>
        <v/>
      </c>
    </row>
    <row r="49" customFormat="false" ht="15" hidden="false" customHeight="false" outlineLevel="0" collapsed="false">
      <c r="A49" s="18" t="str">
        <f aca="false">Tiers!A46</f>
        <v>TeamGantt</v>
      </c>
      <c r="B49" s="18" t="str">
        <f aca="false">Tiers!B46</f>
        <v>Base</v>
      </c>
      <c r="C49" s="15" t="str">
        <f aca="false">IF(Tiers!K46="yes","",IF(Model!F46=0,"",IF(Tiers!L46&lt;&gt;"public","",IF(AND(Tiers!J46&lt;&gt;"",5&gt;Tiers!J46),"",IF(Tiers!D46="per_seat",  IF(Inputs!$B$8="annual",IF(Tiers!E46="","",Tiers!E46*MAX(5,IF(Tiers!I46="",1,Tiers!I46))),                            IF(Tiers!F46="","",Tiers!F46*MAX(5,IF(Tiers!I46="",1,Tiers!I46)))),IF(Tiers!D46="flat",  IF(Inputs!$B$8="annual",IF(Tiers!G46="","",Tiers!G46/12),                            IF(Tiers!H46="","",Tiers!H46)),""))))))</f>
        <v/>
      </c>
      <c r="D49" s="15" t="str">
        <f aca="false">IF(Tiers!K46="yes","",IF(Model!F46=0,"",IF(Tiers!L46&lt;&gt;"public","",IF(AND(Tiers!J46&lt;&gt;"",10&gt;Tiers!J46),"",IF(Tiers!D46="per_seat",  IF(Inputs!$B$8="annual",IF(Tiers!E46="","",Tiers!E46*MAX(10,IF(Tiers!I46="",1,Tiers!I46))),                            IF(Tiers!F46="","",Tiers!F46*MAX(10,IF(Tiers!I46="",1,Tiers!I46)))),IF(Tiers!D46="flat",  IF(Inputs!$B$8="annual",IF(Tiers!G46="","",Tiers!G46/12),                            IF(Tiers!H46="","",Tiers!H46)),""))))))</f>
        <v/>
      </c>
      <c r="E49" s="15" t="str">
        <f aca="false">IF(Tiers!K46="yes","",IF(Model!F46=0,"",IF(Tiers!L46&lt;&gt;"public","",IF(AND(Tiers!J46&lt;&gt;"",25&gt;Tiers!J46),"",IF(Tiers!D46="per_seat",  IF(Inputs!$B$8="annual",IF(Tiers!E46="","",Tiers!E46*MAX(25,IF(Tiers!I46="",1,Tiers!I46))),                            IF(Tiers!F46="","",Tiers!F46*MAX(25,IF(Tiers!I46="",1,Tiers!I46)))),IF(Tiers!D46="flat",  IF(Inputs!$B$8="annual",IF(Tiers!G46="","",Tiers!G46/12),                            IF(Tiers!H46="","",Tiers!H46)),""))))))</f>
        <v/>
      </c>
      <c r="F49" s="15" t="str">
        <f aca="false">IF(Tiers!K46="yes","",IF(Model!F46=0,"",IF(Tiers!L46&lt;&gt;"public","",IF(AND(Tiers!J46&lt;&gt;"",50&gt;Tiers!J46),"",IF(Tiers!D46="per_seat",  IF(Inputs!$B$8="annual",IF(Tiers!E46="","",Tiers!E46*MAX(50,IF(Tiers!I46="",1,Tiers!I46))),                            IF(Tiers!F46="","",Tiers!F46*MAX(50,IF(Tiers!I46="",1,Tiers!I46)))),IF(Tiers!D46="flat",  IF(Inputs!$B$8="annual",IF(Tiers!G46="","",Tiers!G46/12),                            IF(Tiers!H46="","",Tiers!H46)),""))))))</f>
        <v/>
      </c>
      <c r="G49" s="15" t="str">
        <f aca="false">IF(Tiers!K46="yes","",IF(Model!F46=0,"",IF(Tiers!L46&lt;&gt;"public","",IF(AND(Tiers!J46&lt;&gt;"",100&gt;Tiers!J46),"",IF(Tiers!D46="per_seat",  IF(Inputs!$B$8="annual",IF(Tiers!E46="","",Tiers!E46*MAX(100,IF(Tiers!I46="",1,Tiers!I46))),                            IF(Tiers!F46="","",Tiers!F46*MAX(100,IF(Tiers!I46="",1,Tiers!I46)))),IF(Tiers!D46="flat",  IF(Inputs!$B$8="annual",IF(Tiers!G46="","",Tiers!G46/12),                            IF(Tiers!H46="","",Tiers!H46)),""))))))</f>
        <v/>
      </c>
      <c r="H49" s="15" t="str">
        <f aca="false">IF(Tiers!K46="yes","",IF(Model!F46=0,"",IF(Tiers!L46&lt;&gt;"public","",IF(AND(Tiers!J46&lt;&gt;"",250&gt;Tiers!J46),"",IF(Tiers!D46="per_seat",  IF(Inputs!$B$8="annual",IF(Tiers!E46="","",Tiers!E46*MAX(250,IF(Tiers!I46="",1,Tiers!I46))),                            IF(Tiers!F46="","",Tiers!F46*MAX(250,IF(Tiers!I46="",1,Tiers!I46)))),IF(Tiers!D46="flat",  IF(Inputs!$B$8="annual",IF(Tiers!G46="","",Tiers!G46/12),                            IF(Tiers!H46="","",Tiers!H46)),""))))))</f>
        <v/>
      </c>
    </row>
    <row r="50" customFormat="false" ht="15" hidden="false" customHeight="false" outlineLevel="0" collapsed="false">
      <c r="A50" s="20" t="str">
        <f aca="false">Tiers!A47</f>
        <v>TeamGantt</v>
      </c>
      <c r="B50" s="20" t="str">
        <f aca="false">Tiers!B47</f>
        <v>Business</v>
      </c>
      <c r="C50" s="17" t="str">
        <f aca="false">IF(Tiers!K47="yes","",IF(Model!F47=0,"",IF(Tiers!L47&lt;&gt;"public","",IF(AND(Tiers!J47&lt;&gt;"",5&gt;Tiers!J47),"",IF(Tiers!D47="per_seat",  IF(Inputs!$B$8="annual",IF(Tiers!E47="","",Tiers!E47*MAX(5,IF(Tiers!I47="",1,Tiers!I47))),                            IF(Tiers!F47="","",Tiers!F47*MAX(5,IF(Tiers!I47="",1,Tiers!I47)))),IF(Tiers!D47="flat",  IF(Inputs!$B$8="annual",IF(Tiers!G47="","",Tiers!G47/12),                            IF(Tiers!H47="","",Tiers!H47)),""))))))</f>
        <v/>
      </c>
      <c r="D50" s="17" t="str">
        <f aca="false">IF(Tiers!K47="yes","",IF(Model!F47=0,"",IF(Tiers!L47&lt;&gt;"public","",IF(AND(Tiers!J47&lt;&gt;"",10&gt;Tiers!J47),"",IF(Tiers!D47="per_seat",  IF(Inputs!$B$8="annual",IF(Tiers!E47="","",Tiers!E47*MAX(10,IF(Tiers!I47="",1,Tiers!I47))),                            IF(Tiers!F47="","",Tiers!F47*MAX(10,IF(Tiers!I47="",1,Tiers!I47)))),IF(Tiers!D47="flat",  IF(Inputs!$B$8="annual",IF(Tiers!G47="","",Tiers!G47/12),                            IF(Tiers!H47="","",Tiers!H47)),""))))))</f>
        <v/>
      </c>
      <c r="E50" s="17" t="str">
        <f aca="false">IF(Tiers!K47="yes","",IF(Model!F47=0,"",IF(Tiers!L47&lt;&gt;"public","",IF(AND(Tiers!J47&lt;&gt;"",25&gt;Tiers!J47),"",IF(Tiers!D47="per_seat",  IF(Inputs!$B$8="annual",IF(Tiers!E47="","",Tiers!E47*MAX(25,IF(Tiers!I47="",1,Tiers!I47))),                            IF(Tiers!F47="","",Tiers!F47*MAX(25,IF(Tiers!I47="",1,Tiers!I47)))),IF(Tiers!D47="flat",  IF(Inputs!$B$8="annual",IF(Tiers!G47="","",Tiers!G47/12),                            IF(Tiers!H47="","",Tiers!H47)),""))))))</f>
        <v/>
      </c>
      <c r="F50" s="17" t="str">
        <f aca="false">IF(Tiers!K47="yes","",IF(Model!F47=0,"",IF(Tiers!L47&lt;&gt;"public","",IF(AND(Tiers!J47&lt;&gt;"",50&gt;Tiers!J47),"",IF(Tiers!D47="per_seat",  IF(Inputs!$B$8="annual",IF(Tiers!E47="","",Tiers!E47*MAX(50,IF(Tiers!I47="",1,Tiers!I47))),                            IF(Tiers!F47="","",Tiers!F47*MAX(50,IF(Tiers!I47="",1,Tiers!I47)))),IF(Tiers!D47="flat",  IF(Inputs!$B$8="annual",IF(Tiers!G47="","",Tiers!G47/12),                            IF(Tiers!H47="","",Tiers!H47)),""))))))</f>
        <v/>
      </c>
      <c r="G50" s="17" t="str">
        <f aca="false">IF(Tiers!K47="yes","",IF(Model!F47=0,"",IF(Tiers!L47&lt;&gt;"public","",IF(AND(Tiers!J47&lt;&gt;"",100&gt;Tiers!J47),"",IF(Tiers!D47="per_seat",  IF(Inputs!$B$8="annual",IF(Tiers!E47="","",Tiers!E47*MAX(100,IF(Tiers!I47="",1,Tiers!I47))),                            IF(Tiers!F47="","",Tiers!F47*MAX(100,IF(Tiers!I47="",1,Tiers!I47)))),IF(Tiers!D47="flat",  IF(Inputs!$B$8="annual",IF(Tiers!G47="","",Tiers!G47/12),                            IF(Tiers!H47="","",Tiers!H47)),""))))))</f>
        <v/>
      </c>
      <c r="H50" s="17" t="str">
        <f aca="false">IF(Tiers!K47="yes","",IF(Model!F47=0,"",IF(Tiers!L47&lt;&gt;"public","",IF(AND(Tiers!J47&lt;&gt;"",250&gt;Tiers!J47),"",IF(Tiers!D47="per_seat",  IF(Inputs!$B$8="annual",IF(Tiers!E47="","",Tiers!E47*MAX(250,IF(Tiers!I47="",1,Tiers!I47))),                            IF(Tiers!F47="","",Tiers!F47*MAX(250,IF(Tiers!I47="",1,Tiers!I47)))),IF(Tiers!D47="flat",  IF(Inputs!$B$8="annual",IF(Tiers!G47="","",Tiers!G47/12),                            IF(Tiers!H47="","",Tiers!H47)),""))))))</f>
        <v/>
      </c>
    </row>
    <row r="51" customFormat="false" ht="15" hidden="false" customHeight="false" outlineLevel="0" collapsed="false">
      <c r="A51" s="18" t="str">
        <f aca="false">Tiers!A48</f>
        <v>TeamGantt</v>
      </c>
      <c r="B51" s="18" t="str">
        <f aca="false">Tiers!B48</f>
        <v>Builder Edition</v>
      </c>
      <c r="C51" s="15" t="str">
        <f aca="false">IF(Tiers!K48="yes","",IF(Model!F48=0,"",IF(Tiers!L48&lt;&gt;"public","",IF(AND(Tiers!J48&lt;&gt;"",5&gt;Tiers!J48),"",IF(Tiers!D48="per_seat",  IF(Inputs!$B$8="annual",IF(Tiers!E48="","",Tiers!E48*MAX(5,IF(Tiers!I48="",1,Tiers!I48))),                            IF(Tiers!F48="","",Tiers!F48*MAX(5,IF(Tiers!I48="",1,Tiers!I48)))),IF(Tiers!D48="flat",  IF(Inputs!$B$8="annual",IF(Tiers!G48="","",Tiers!G48/12),                            IF(Tiers!H48="","",Tiers!H48)),""))))))</f>
        <v/>
      </c>
      <c r="D51" s="15" t="str">
        <f aca="false">IF(Tiers!K48="yes","",IF(Model!F48=0,"",IF(Tiers!L48&lt;&gt;"public","",IF(AND(Tiers!J48&lt;&gt;"",10&gt;Tiers!J48),"",IF(Tiers!D48="per_seat",  IF(Inputs!$B$8="annual",IF(Tiers!E48="","",Tiers!E48*MAX(10,IF(Tiers!I48="",1,Tiers!I48))),                            IF(Tiers!F48="","",Tiers!F48*MAX(10,IF(Tiers!I48="",1,Tiers!I48)))),IF(Tiers!D48="flat",  IF(Inputs!$B$8="annual",IF(Tiers!G48="","",Tiers!G48/12),                            IF(Tiers!H48="","",Tiers!H48)),""))))))</f>
        <v/>
      </c>
      <c r="E51" s="15" t="str">
        <f aca="false">IF(Tiers!K48="yes","",IF(Model!F48=0,"",IF(Tiers!L48&lt;&gt;"public","",IF(AND(Tiers!J48&lt;&gt;"",25&gt;Tiers!J48),"",IF(Tiers!D48="per_seat",  IF(Inputs!$B$8="annual",IF(Tiers!E48="","",Tiers!E48*MAX(25,IF(Tiers!I48="",1,Tiers!I48))),                            IF(Tiers!F48="","",Tiers!F48*MAX(25,IF(Tiers!I48="",1,Tiers!I48)))),IF(Tiers!D48="flat",  IF(Inputs!$B$8="annual",IF(Tiers!G48="","",Tiers!G48/12),                            IF(Tiers!H48="","",Tiers!H48)),""))))))</f>
        <v/>
      </c>
      <c r="F51" s="15" t="str">
        <f aca="false">IF(Tiers!K48="yes","",IF(Model!F48=0,"",IF(Tiers!L48&lt;&gt;"public","",IF(AND(Tiers!J48&lt;&gt;"",50&gt;Tiers!J48),"",IF(Tiers!D48="per_seat",  IF(Inputs!$B$8="annual",IF(Tiers!E48="","",Tiers!E48*MAX(50,IF(Tiers!I48="",1,Tiers!I48))),                            IF(Tiers!F48="","",Tiers!F48*MAX(50,IF(Tiers!I48="",1,Tiers!I48)))),IF(Tiers!D48="flat",  IF(Inputs!$B$8="annual",IF(Tiers!G48="","",Tiers!G48/12),                            IF(Tiers!H48="","",Tiers!H48)),""))))))</f>
        <v/>
      </c>
      <c r="G51" s="15" t="str">
        <f aca="false">IF(Tiers!K48="yes","",IF(Model!F48=0,"",IF(Tiers!L48&lt;&gt;"public","",IF(AND(Tiers!J48&lt;&gt;"",100&gt;Tiers!J48),"",IF(Tiers!D48="per_seat",  IF(Inputs!$B$8="annual",IF(Tiers!E48="","",Tiers!E48*MAX(100,IF(Tiers!I48="",1,Tiers!I48))),                            IF(Tiers!F48="","",Tiers!F48*MAX(100,IF(Tiers!I48="",1,Tiers!I48)))),IF(Tiers!D48="flat",  IF(Inputs!$B$8="annual",IF(Tiers!G48="","",Tiers!G48/12),                            IF(Tiers!H48="","",Tiers!H48)),""))))))</f>
        <v/>
      </c>
      <c r="H51" s="15" t="str">
        <f aca="false">IF(Tiers!K48="yes","",IF(Model!F48=0,"",IF(Tiers!L48&lt;&gt;"public","",IF(AND(Tiers!J48&lt;&gt;"",250&gt;Tiers!J48),"",IF(Tiers!D48="per_seat",  IF(Inputs!$B$8="annual",IF(Tiers!E48="","",Tiers!E48*MAX(250,IF(Tiers!I48="",1,Tiers!I48))),                            IF(Tiers!F48="","",Tiers!F48*MAX(250,IF(Tiers!I48="",1,Tiers!I48)))),IF(Tiers!D48="flat",  IF(Inputs!$B$8="annual",IF(Tiers!G48="","",Tiers!G48/12),                            IF(Tiers!H48="","",Tiers!H48)),""))))))</f>
        <v/>
      </c>
    </row>
    <row r="52" customFormat="false" ht="15" hidden="false" customHeight="false" outlineLevel="0" collapsed="false">
      <c r="A52" s="20" t="str">
        <f aca="false">Tiers!A49</f>
        <v>Hive</v>
      </c>
      <c r="B52" s="20" t="str">
        <f aca="false">Tiers!B49</f>
        <v>Free</v>
      </c>
      <c r="C52" s="17" t="str">
        <f aca="false">IF(Tiers!K49="yes","",IF(Model!F49=0,"",IF(Tiers!L49&lt;&gt;"public","",IF(AND(Tiers!J49&lt;&gt;"",5&gt;Tiers!J49),"",IF(Tiers!D49="per_seat",  IF(Inputs!$B$8="annual",IF(Tiers!E49="","",Tiers!E49*MAX(5,IF(Tiers!I49="",1,Tiers!I49))),                            IF(Tiers!F49="","",Tiers!F49*MAX(5,IF(Tiers!I49="",1,Tiers!I49)))),IF(Tiers!D49="flat",  IF(Inputs!$B$8="annual",IF(Tiers!G49="","",Tiers!G49/12),                            IF(Tiers!H49="","",Tiers!H49)),""))))))</f>
        <v/>
      </c>
      <c r="D52" s="17" t="str">
        <f aca="false">IF(Tiers!K49="yes","",IF(Model!F49=0,"",IF(Tiers!L49&lt;&gt;"public","",IF(AND(Tiers!J49&lt;&gt;"",10&gt;Tiers!J49),"",IF(Tiers!D49="per_seat",  IF(Inputs!$B$8="annual",IF(Tiers!E49="","",Tiers!E49*MAX(10,IF(Tiers!I49="",1,Tiers!I49))),                            IF(Tiers!F49="","",Tiers!F49*MAX(10,IF(Tiers!I49="",1,Tiers!I49)))),IF(Tiers!D49="flat",  IF(Inputs!$B$8="annual",IF(Tiers!G49="","",Tiers!G49/12),                            IF(Tiers!H49="","",Tiers!H49)),""))))))</f>
        <v/>
      </c>
      <c r="E52" s="17" t="str">
        <f aca="false">IF(Tiers!K49="yes","",IF(Model!F49=0,"",IF(Tiers!L49&lt;&gt;"public","",IF(AND(Tiers!J49&lt;&gt;"",25&gt;Tiers!J49),"",IF(Tiers!D49="per_seat",  IF(Inputs!$B$8="annual",IF(Tiers!E49="","",Tiers!E49*MAX(25,IF(Tiers!I49="",1,Tiers!I49))),                            IF(Tiers!F49="","",Tiers!F49*MAX(25,IF(Tiers!I49="",1,Tiers!I49)))),IF(Tiers!D49="flat",  IF(Inputs!$B$8="annual",IF(Tiers!G49="","",Tiers!G49/12),                            IF(Tiers!H49="","",Tiers!H49)),""))))))</f>
        <v/>
      </c>
      <c r="F52" s="17" t="str">
        <f aca="false">IF(Tiers!K49="yes","",IF(Model!F49=0,"",IF(Tiers!L49&lt;&gt;"public","",IF(AND(Tiers!J49&lt;&gt;"",50&gt;Tiers!J49),"",IF(Tiers!D49="per_seat",  IF(Inputs!$B$8="annual",IF(Tiers!E49="","",Tiers!E49*MAX(50,IF(Tiers!I49="",1,Tiers!I49))),                            IF(Tiers!F49="","",Tiers!F49*MAX(50,IF(Tiers!I49="",1,Tiers!I49)))),IF(Tiers!D49="flat",  IF(Inputs!$B$8="annual",IF(Tiers!G49="","",Tiers!G49/12),                            IF(Tiers!H49="","",Tiers!H49)),""))))))</f>
        <v/>
      </c>
      <c r="G52" s="17" t="str">
        <f aca="false">IF(Tiers!K49="yes","",IF(Model!F49=0,"",IF(Tiers!L49&lt;&gt;"public","",IF(AND(Tiers!J49&lt;&gt;"",100&gt;Tiers!J49),"",IF(Tiers!D49="per_seat",  IF(Inputs!$B$8="annual",IF(Tiers!E49="","",Tiers!E49*MAX(100,IF(Tiers!I49="",1,Tiers!I49))),                            IF(Tiers!F49="","",Tiers!F49*MAX(100,IF(Tiers!I49="",1,Tiers!I49)))),IF(Tiers!D49="flat",  IF(Inputs!$B$8="annual",IF(Tiers!G49="","",Tiers!G49/12),                            IF(Tiers!H49="","",Tiers!H49)),""))))))</f>
        <v/>
      </c>
      <c r="H52" s="17" t="str">
        <f aca="false">IF(Tiers!K49="yes","",IF(Model!F49=0,"",IF(Tiers!L49&lt;&gt;"public","",IF(AND(Tiers!J49&lt;&gt;"",250&gt;Tiers!J49),"",IF(Tiers!D49="per_seat",  IF(Inputs!$B$8="annual",IF(Tiers!E49="","",Tiers!E49*MAX(250,IF(Tiers!I49="",1,Tiers!I49))),                            IF(Tiers!F49="","",Tiers!F49*MAX(250,IF(Tiers!I49="",1,Tiers!I49)))),IF(Tiers!D49="flat",  IF(Inputs!$B$8="annual",IF(Tiers!G49="","",Tiers!G49/12),                            IF(Tiers!H49="","",Tiers!H49)),""))))))</f>
        <v/>
      </c>
    </row>
    <row r="53" customFormat="false" ht="15" hidden="false" customHeight="false" outlineLevel="0" collapsed="false">
      <c r="A53" s="18" t="str">
        <f aca="false">Tiers!A50</f>
        <v>Hive</v>
      </c>
      <c r="B53" s="18" t="str">
        <f aca="false">Tiers!B50</f>
        <v>Starter</v>
      </c>
      <c r="C53" s="15" t="n">
        <f aca="false">IF(Tiers!K50="yes","",IF(Model!F50=0,"",IF(Tiers!L50&lt;&gt;"public","",IF(AND(Tiers!J50&lt;&gt;"",5&gt;Tiers!J50),"",IF(Tiers!D50="per_seat",  IF(Inputs!$B$8="annual",IF(Tiers!E50="","",Tiers!E50*MAX(5,IF(Tiers!I50="",1,Tiers!I50))),                            IF(Tiers!F50="","",Tiers!F50*MAX(5,IF(Tiers!I50="",1,Tiers!I50)))),IF(Tiers!D50="flat",  IF(Inputs!$B$8="annual",IF(Tiers!G50="","",Tiers!G50/12),                            IF(Tiers!H50="","",Tiers!H50)),""))))))</f>
        <v>25</v>
      </c>
      <c r="D53" s="15" t="n">
        <f aca="false">IF(Tiers!K50="yes","",IF(Model!F50=0,"",IF(Tiers!L50&lt;&gt;"public","",IF(AND(Tiers!J50&lt;&gt;"",10&gt;Tiers!J50),"",IF(Tiers!D50="per_seat",  IF(Inputs!$B$8="annual",IF(Tiers!E50="","",Tiers!E50*MAX(10,IF(Tiers!I50="",1,Tiers!I50))),                            IF(Tiers!F50="","",Tiers!F50*MAX(10,IF(Tiers!I50="",1,Tiers!I50)))),IF(Tiers!D50="flat",  IF(Inputs!$B$8="annual",IF(Tiers!G50="","",Tiers!G50/12),                            IF(Tiers!H50="","",Tiers!H50)),""))))))</f>
        <v>50</v>
      </c>
      <c r="E53" s="15" t="str">
        <f aca="false">IF(Tiers!K50="yes","",IF(Model!F50=0,"",IF(Tiers!L50&lt;&gt;"public","",IF(AND(Tiers!J50&lt;&gt;"",25&gt;Tiers!J50),"",IF(Tiers!D50="per_seat",  IF(Inputs!$B$8="annual",IF(Tiers!E50="","",Tiers!E50*MAX(25,IF(Tiers!I50="",1,Tiers!I50))),                            IF(Tiers!F50="","",Tiers!F50*MAX(25,IF(Tiers!I50="",1,Tiers!I50)))),IF(Tiers!D50="flat",  IF(Inputs!$B$8="annual",IF(Tiers!G50="","",Tiers!G50/12),                            IF(Tiers!H50="","",Tiers!H50)),""))))))</f>
        <v/>
      </c>
      <c r="F53" s="15" t="str">
        <f aca="false">IF(Tiers!K50="yes","",IF(Model!F50=0,"",IF(Tiers!L50&lt;&gt;"public","",IF(AND(Tiers!J50&lt;&gt;"",50&gt;Tiers!J50),"",IF(Tiers!D50="per_seat",  IF(Inputs!$B$8="annual",IF(Tiers!E50="","",Tiers!E50*MAX(50,IF(Tiers!I50="",1,Tiers!I50))),                            IF(Tiers!F50="","",Tiers!F50*MAX(50,IF(Tiers!I50="",1,Tiers!I50)))),IF(Tiers!D50="flat",  IF(Inputs!$B$8="annual",IF(Tiers!G50="","",Tiers!G50/12),                            IF(Tiers!H50="","",Tiers!H50)),""))))))</f>
        <v/>
      </c>
      <c r="G53" s="15" t="str">
        <f aca="false">IF(Tiers!K50="yes","",IF(Model!F50=0,"",IF(Tiers!L50&lt;&gt;"public","",IF(AND(Tiers!J50&lt;&gt;"",100&gt;Tiers!J50),"",IF(Tiers!D50="per_seat",  IF(Inputs!$B$8="annual",IF(Tiers!E50="","",Tiers!E50*MAX(100,IF(Tiers!I50="",1,Tiers!I50))),                            IF(Tiers!F50="","",Tiers!F50*MAX(100,IF(Tiers!I50="",1,Tiers!I50)))),IF(Tiers!D50="flat",  IF(Inputs!$B$8="annual",IF(Tiers!G50="","",Tiers!G50/12),                            IF(Tiers!H50="","",Tiers!H50)),""))))))</f>
        <v/>
      </c>
      <c r="H53" s="15" t="str">
        <f aca="false">IF(Tiers!K50="yes","",IF(Model!F50=0,"",IF(Tiers!L50&lt;&gt;"public","",IF(AND(Tiers!J50&lt;&gt;"",250&gt;Tiers!J50),"",IF(Tiers!D50="per_seat",  IF(Inputs!$B$8="annual",IF(Tiers!E50="","",Tiers!E50*MAX(250,IF(Tiers!I50="",1,Tiers!I50))),                            IF(Tiers!F50="","",Tiers!F50*MAX(250,IF(Tiers!I50="",1,Tiers!I50)))),IF(Tiers!D50="flat",  IF(Inputs!$B$8="annual",IF(Tiers!G50="","",Tiers!G50/12),                            IF(Tiers!H50="","",Tiers!H50)),""))))))</f>
        <v/>
      </c>
    </row>
    <row r="54" customFormat="false" ht="15" hidden="false" customHeight="false" outlineLevel="0" collapsed="false">
      <c r="A54" s="20" t="str">
        <f aca="false">Tiers!A51</f>
        <v>Hive</v>
      </c>
      <c r="B54" s="20" t="str">
        <f aca="false">Tiers!B51</f>
        <v>Teams</v>
      </c>
      <c r="C54" s="17" t="n">
        <f aca="false">IF(Tiers!K51="yes","",IF(Model!F51=0,"",IF(Tiers!L51&lt;&gt;"public","",IF(AND(Tiers!J51&lt;&gt;"",5&gt;Tiers!J51),"",IF(Tiers!D51="per_seat",  IF(Inputs!$B$8="annual",IF(Tiers!E51="","",Tiers!E51*MAX(5,IF(Tiers!I51="",1,Tiers!I51))),                            IF(Tiers!F51="","",Tiers!F51*MAX(5,IF(Tiers!I51="",1,Tiers!I51)))),IF(Tiers!D51="flat",  IF(Inputs!$B$8="annual",IF(Tiers!G51="","",Tiers!G51/12),                            IF(Tiers!H51="","",Tiers!H51)),""))))))</f>
        <v>60</v>
      </c>
      <c r="D54" s="17" t="n">
        <f aca="false">IF(Tiers!K51="yes","",IF(Model!F51=0,"",IF(Tiers!L51&lt;&gt;"public","",IF(AND(Tiers!J51&lt;&gt;"",10&gt;Tiers!J51),"",IF(Tiers!D51="per_seat",  IF(Inputs!$B$8="annual",IF(Tiers!E51="","",Tiers!E51*MAX(10,IF(Tiers!I51="",1,Tiers!I51))),                            IF(Tiers!F51="","",Tiers!F51*MAX(10,IF(Tiers!I51="",1,Tiers!I51)))),IF(Tiers!D51="flat",  IF(Inputs!$B$8="annual",IF(Tiers!G51="","",Tiers!G51/12),                            IF(Tiers!H51="","",Tiers!H51)),""))))))</f>
        <v>120</v>
      </c>
      <c r="E54" s="17" t="n">
        <f aca="false">IF(Tiers!K51="yes","",IF(Model!F51=0,"",IF(Tiers!L51&lt;&gt;"public","",IF(AND(Tiers!J51&lt;&gt;"",25&gt;Tiers!J51),"",IF(Tiers!D51="per_seat",  IF(Inputs!$B$8="annual",IF(Tiers!E51="","",Tiers!E51*MAX(25,IF(Tiers!I51="",1,Tiers!I51))),                            IF(Tiers!F51="","",Tiers!F51*MAX(25,IF(Tiers!I51="",1,Tiers!I51)))),IF(Tiers!D51="flat",  IF(Inputs!$B$8="annual",IF(Tiers!G51="","",Tiers!G51/12),                            IF(Tiers!H51="","",Tiers!H51)),""))))))</f>
        <v>300</v>
      </c>
      <c r="F54" s="17" t="n">
        <f aca="false">IF(Tiers!K51="yes","",IF(Model!F51=0,"",IF(Tiers!L51&lt;&gt;"public","",IF(AND(Tiers!J51&lt;&gt;"",50&gt;Tiers!J51),"",IF(Tiers!D51="per_seat",  IF(Inputs!$B$8="annual",IF(Tiers!E51="","",Tiers!E51*MAX(50,IF(Tiers!I51="",1,Tiers!I51))),                            IF(Tiers!F51="","",Tiers!F51*MAX(50,IF(Tiers!I51="",1,Tiers!I51)))),IF(Tiers!D51="flat",  IF(Inputs!$B$8="annual",IF(Tiers!G51="","",Tiers!G51/12),                            IF(Tiers!H51="","",Tiers!H51)),""))))))</f>
        <v>600</v>
      </c>
      <c r="G54" s="17" t="n">
        <f aca="false">IF(Tiers!K51="yes","",IF(Model!F51=0,"",IF(Tiers!L51&lt;&gt;"public","",IF(AND(Tiers!J51&lt;&gt;"",100&gt;Tiers!J51),"",IF(Tiers!D51="per_seat",  IF(Inputs!$B$8="annual",IF(Tiers!E51="","",Tiers!E51*MAX(100,IF(Tiers!I51="",1,Tiers!I51))),                            IF(Tiers!F51="","",Tiers!F51*MAX(100,IF(Tiers!I51="",1,Tiers!I51)))),IF(Tiers!D51="flat",  IF(Inputs!$B$8="annual",IF(Tiers!G51="","",Tiers!G51/12),                            IF(Tiers!H51="","",Tiers!H51)),""))))))</f>
        <v>1200</v>
      </c>
      <c r="H54" s="17" t="n">
        <f aca="false">IF(Tiers!K51="yes","",IF(Model!F51=0,"",IF(Tiers!L51&lt;&gt;"public","",IF(AND(Tiers!J51&lt;&gt;"",250&gt;Tiers!J51),"",IF(Tiers!D51="per_seat",  IF(Inputs!$B$8="annual",IF(Tiers!E51="","",Tiers!E51*MAX(250,IF(Tiers!I51="",1,Tiers!I51))),                            IF(Tiers!F51="","",Tiers!F51*MAX(250,IF(Tiers!I51="",1,Tiers!I51)))),IF(Tiers!D51="flat",  IF(Inputs!$B$8="annual",IF(Tiers!G51="","",Tiers!G51/12),                            IF(Tiers!H51="","",Tiers!H51)),""))))))</f>
        <v>3000</v>
      </c>
    </row>
    <row r="55" customFormat="false" ht="15" hidden="false" customHeight="false" outlineLevel="0" collapsed="false">
      <c r="A55" s="18" t="str">
        <f aca="false">Tiers!A52</f>
        <v>Hive</v>
      </c>
      <c r="B55" s="18" t="str">
        <f aca="false">Tiers!B52</f>
        <v>Enterprise</v>
      </c>
      <c r="C55" s="15" t="str">
        <f aca="false">IF(Tiers!K52="yes","",IF(Model!F52=0,"",IF(Tiers!L52&lt;&gt;"public","",IF(AND(Tiers!J52&lt;&gt;"",5&gt;Tiers!J52),"",IF(Tiers!D52="per_seat",  IF(Inputs!$B$8="annual",IF(Tiers!E52="","",Tiers!E52*MAX(5,IF(Tiers!I52="",1,Tiers!I52))),                            IF(Tiers!F52="","",Tiers!F52*MAX(5,IF(Tiers!I52="",1,Tiers!I52)))),IF(Tiers!D52="flat",  IF(Inputs!$B$8="annual",IF(Tiers!G52="","",Tiers!G52/12),                            IF(Tiers!H52="","",Tiers!H52)),""))))))</f>
        <v/>
      </c>
      <c r="D55" s="15" t="str">
        <f aca="false">IF(Tiers!K52="yes","",IF(Model!F52=0,"",IF(Tiers!L52&lt;&gt;"public","",IF(AND(Tiers!J52&lt;&gt;"",10&gt;Tiers!J52),"",IF(Tiers!D52="per_seat",  IF(Inputs!$B$8="annual",IF(Tiers!E52="","",Tiers!E52*MAX(10,IF(Tiers!I52="",1,Tiers!I52))),                            IF(Tiers!F52="","",Tiers!F52*MAX(10,IF(Tiers!I52="",1,Tiers!I52)))),IF(Tiers!D52="flat",  IF(Inputs!$B$8="annual",IF(Tiers!G52="","",Tiers!G52/12),                            IF(Tiers!H52="","",Tiers!H52)),""))))))</f>
        <v/>
      </c>
      <c r="E55" s="15" t="str">
        <f aca="false">IF(Tiers!K52="yes","",IF(Model!F52=0,"",IF(Tiers!L52&lt;&gt;"public","",IF(AND(Tiers!J52&lt;&gt;"",25&gt;Tiers!J52),"",IF(Tiers!D52="per_seat",  IF(Inputs!$B$8="annual",IF(Tiers!E52="","",Tiers!E52*MAX(25,IF(Tiers!I52="",1,Tiers!I52))),                            IF(Tiers!F52="","",Tiers!F52*MAX(25,IF(Tiers!I52="",1,Tiers!I52)))),IF(Tiers!D52="flat",  IF(Inputs!$B$8="annual",IF(Tiers!G52="","",Tiers!G52/12),                            IF(Tiers!H52="","",Tiers!H52)),""))))))</f>
        <v/>
      </c>
      <c r="F55" s="15" t="str">
        <f aca="false">IF(Tiers!K52="yes","",IF(Model!F52=0,"",IF(Tiers!L52&lt;&gt;"public","",IF(AND(Tiers!J52&lt;&gt;"",50&gt;Tiers!J52),"",IF(Tiers!D52="per_seat",  IF(Inputs!$B$8="annual",IF(Tiers!E52="","",Tiers!E52*MAX(50,IF(Tiers!I52="",1,Tiers!I52))),                            IF(Tiers!F52="","",Tiers!F52*MAX(50,IF(Tiers!I52="",1,Tiers!I52)))),IF(Tiers!D52="flat",  IF(Inputs!$B$8="annual",IF(Tiers!G52="","",Tiers!G52/12),                            IF(Tiers!H52="","",Tiers!H52)),""))))))</f>
        <v/>
      </c>
      <c r="G55" s="15" t="str">
        <f aca="false">IF(Tiers!K52="yes","",IF(Model!F52=0,"",IF(Tiers!L52&lt;&gt;"public","",IF(AND(Tiers!J52&lt;&gt;"",100&gt;Tiers!J52),"",IF(Tiers!D52="per_seat",  IF(Inputs!$B$8="annual",IF(Tiers!E52="","",Tiers!E52*MAX(100,IF(Tiers!I52="",1,Tiers!I52))),                            IF(Tiers!F52="","",Tiers!F52*MAX(100,IF(Tiers!I52="",1,Tiers!I52)))),IF(Tiers!D52="flat",  IF(Inputs!$B$8="annual",IF(Tiers!G52="","",Tiers!G52/12),                            IF(Tiers!H52="","",Tiers!H52)),""))))))</f>
        <v/>
      </c>
      <c r="H55" s="15" t="str">
        <f aca="false">IF(Tiers!K52="yes","",IF(Model!F52=0,"",IF(Tiers!L52&lt;&gt;"public","",IF(AND(Tiers!J52&lt;&gt;"",250&gt;Tiers!J52),"",IF(Tiers!D52="per_seat",  IF(Inputs!$B$8="annual",IF(Tiers!E52="","",Tiers!E52*MAX(250,IF(Tiers!I52="",1,Tiers!I52))),                            IF(Tiers!F52="","",Tiers!F52*MAX(250,IF(Tiers!I52="",1,Tiers!I52)))),IF(Tiers!D52="flat",  IF(Inputs!$B$8="annual",IF(Tiers!G52="","",Tiers!G52/12),                            IF(Tiers!H52="","",Tiers!H52)),""))))))</f>
        <v/>
      </c>
    </row>
    <row r="56" customFormat="false" ht="15" hidden="false" customHeight="false" outlineLevel="0" collapsed="false">
      <c r="A56" s="20" t="str">
        <f aca="false">Tiers!A53</f>
        <v>Zoho Projects</v>
      </c>
      <c r="B56" s="20" t="str">
        <f aca="false">Tiers!B53</f>
        <v>Free</v>
      </c>
      <c r="C56" s="17" t="str">
        <f aca="false">IF(Tiers!K53="yes","",IF(Model!F53=0,"",IF(Tiers!L53&lt;&gt;"public","",IF(AND(Tiers!J53&lt;&gt;"",5&gt;Tiers!J53),"",IF(Tiers!D53="per_seat",  IF(Inputs!$B$8="annual",IF(Tiers!E53="","",Tiers!E53*MAX(5,IF(Tiers!I53="",1,Tiers!I53))),                            IF(Tiers!F53="","",Tiers!F53*MAX(5,IF(Tiers!I53="",1,Tiers!I53)))),IF(Tiers!D53="flat",  IF(Inputs!$B$8="annual",IF(Tiers!G53="","",Tiers!G53/12),                            IF(Tiers!H53="","",Tiers!H53)),""))))))</f>
        <v/>
      </c>
      <c r="D56" s="17" t="str">
        <f aca="false">IF(Tiers!K53="yes","",IF(Model!F53=0,"",IF(Tiers!L53&lt;&gt;"public","",IF(AND(Tiers!J53&lt;&gt;"",10&gt;Tiers!J53),"",IF(Tiers!D53="per_seat",  IF(Inputs!$B$8="annual",IF(Tiers!E53="","",Tiers!E53*MAX(10,IF(Tiers!I53="",1,Tiers!I53))),                            IF(Tiers!F53="","",Tiers!F53*MAX(10,IF(Tiers!I53="",1,Tiers!I53)))),IF(Tiers!D53="flat",  IF(Inputs!$B$8="annual",IF(Tiers!G53="","",Tiers!G53/12),                            IF(Tiers!H53="","",Tiers!H53)),""))))))</f>
        <v/>
      </c>
      <c r="E56" s="17" t="str">
        <f aca="false">IF(Tiers!K53="yes","",IF(Model!F53=0,"",IF(Tiers!L53&lt;&gt;"public","",IF(AND(Tiers!J53&lt;&gt;"",25&gt;Tiers!J53),"",IF(Tiers!D53="per_seat",  IF(Inputs!$B$8="annual",IF(Tiers!E53="","",Tiers!E53*MAX(25,IF(Tiers!I53="",1,Tiers!I53))),                            IF(Tiers!F53="","",Tiers!F53*MAX(25,IF(Tiers!I53="",1,Tiers!I53)))),IF(Tiers!D53="flat",  IF(Inputs!$B$8="annual",IF(Tiers!G53="","",Tiers!G53/12),                            IF(Tiers!H53="","",Tiers!H53)),""))))))</f>
        <v/>
      </c>
      <c r="F56" s="17" t="str">
        <f aca="false">IF(Tiers!K53="yes","",IF(Model!F53=0,"",IF(Tiers!L53&lt;&gt;"public","",IF(AND(Tiers!J53&lt;&gt;"",50&gt;Tiers!J53),"",IF(Tiers!D53="per_seat",  IF(Inputs!$B$8="annual",IF(Tiers!E53="","",Tiers!E53*MAX(50,IF(Tiers!I53="",1,Tiers!I53))),                            IF(Tiers!F53="","",Tiers!F53*MAX(50,IF(Tiers!I53="",1,Tiers!I53)))),IF(Tiers!D53="flat",  IF(Inputs!$B$8="annual",IF(Tiers!G53="","",Tiers!G53/12),                            IF(Tiers!H53="","",Tiers!H53)),""))))))</f>
        <v/>
      </c>
      <c r="G56" s="17" t="str">
        <f aca="false">IF(Tiers!K53="yes","",IF(Model!F53=0,"",IF(Tiers!L53&lt;&gt;"public","",IF(AND(Tiers!J53&lt;&gt;"",100&gt;Tiers!J53),"",IF(Tiers!D53="per_seat",  IF(Inputs!$B$8="annual",IF(Tiers!E53="","",Tiers!E53*MAX(100,IF(Tiers!I53="",1,Tiers!I53))),                            IF(Tiers!F53="","",Tiers!F53*MAX(100,IF(Tiers!I53="",1,Tiers!I53)))),IF(Tiers!D53="flat",  IF(Inputs!$B$8="annual",IF(Tiers!G53="","",Tiers!G53/12),                            IF(Tiers!H53="","",Tiers!H53)),""))))))</f>
        <v/>
      </c>
      <c r="H56" s="17" t="str">
        <f aca="false">IF(Tiers!K53="yes","",IF(Model!F53=0,"",IF(Tiers!L53&lt;&gt;"public","",IF(AND(Tiers!J53&lt;&gt;"",250&gt;Tiers!J53),"",IF(Tiers!D53="per_seat",  IF(Inputs!$B$8="annual",IF(Tiers!E53="","",Tiers!E53*MAX(250,IF(Tiers!I53="",1,Tiers!I53))),                            IF(Tiers!F53="","",Tiers!F53*MAX(250,IF(Tiers!I53="",1,Tiers!I53)))),IF(Tiers!D53="flat",  IF(Inputs!$B$8="annual",IF(Tiers!G53="","",Tiers!G53/12),                            IF(Tiers!H53="","",Tiers!H53)),""))))))</f>
        <v/>
      </c>
    </row>
    <row r="57" customFormat="false" ht="15" hidden="false" customHeight="false" outlineLevel="0" collapsed="false">
      <c r="A57" s="18" t="str">
        <f aca="false">Tiers!A54</f>
        <v>Zoho Projects</v>
      </c>
      <c r="B57" s="18" t="str">
        <f aca="false">Tiers!B54</f>
        <v>Premium</v>
      </c>
      <c r="C57" s="15" t="n">
        <f aca="false">IF(Tiers!K54="yes","",IF(Model!F54=0,"",IF(Tiers!L54&lt;&gt;"public","",IF(AND(Tiers!J54&lt;&gt;"",5&gt;Tiers!J54),"",IF(Tiers!D54="per_seat",  IF(Inputs!$B$8="annual",IF(Tiers!E54="","",Tiers!E54*MAX(5,IF(Tiers!I54="",1,Tiers!I54))),                            IF(Tiers!F54="","",Tiers!F54*MAX(5,IF(Tiers!I54="",1,Tiers!I54)))),IF(Tiers!D54="flat",  IF(Inputs!$B$8="annual",IF(Tiers!G54="","",Tiers!G54/12),                            IF(Tiers!H54="","",Tiers!H54)),""))))))</f>
        <v>20</v>
      </c>
      <c r="D57" s="15" t="n">
        <f aca="false">IF(Tiers!K54="yes","",IF(Model!F54=0,"",IF(Tiers!L54&lt;&gt;"public","",IF(AND(Tiers!J54&lt;&gt;"",10&gt;Tiers!J54),"",IF(Tiers!D54="per_seat",  IF(Inputs!$B$8="annual",IF(Tiers!E54="","",Tiers!E54*MAX(10,IF(Tiers!I54="",1,Tiers!I54))),                            IF(Tiers!F54="","",Tiers!F54*MAX(10,IF(Tiers!I54="",1,Tiers!I54)))),IF(Tiers!D54="flat",  IF(Inputs!$B$8="annual",IF(Tiers!G54="","",Tiers!G54/12),                            IF(Tiers!H54="","",Tiers!H54)),""))))))</f>
        <v>40</v>
      </c>
      <c r="E57" s="15" t="n">
        <f aca="false">IF(Tiers!K54="yes","",IF(Model!F54=0,"",IF(Tiers!L54&lt;&gt;"public","",IF(AND(Tiers!J54&lt;&gt;"",25&gt;Tiers!J54),"",IF(Tiers!D54="per_seat",  IF(Inputs!$B$8="annual",IF(Tiers!E54="","",Tiers!E54*MAX(25,IF(Tiers!I54="",1,Tiers!I54))),                            IF(Tiers!F54="","",Tiers!F54*MAX(25,IF(Tiers!I54="",1,Tiers!I54)))),IF(Tiers!D54="flat",  IF(Inputs!$B$8="annual",IF(Tiers!G54="","",Tiers!G54/12),                            IF(Tiers!H54="","",Tiers!H54)),""))))))</f>
        <v>100</v>
      </c>
      <c r="F57" s="15" t="n">
        <f aca="false">IF(Tiers!K54="yes","",IF(Model!F54=0,"",IF(Tiers!L54&lt;&gt;"public","",IF(AND(Tiers!J54&lt;&gt;"",50&gt;Tiers!J54),"",IF(Tiers!D54="per_seat",  IF(Inputs!$B$8="annual",IF(Tiers!E54="","",Tiers!E54*MAX(50,IF(Tiers!I54="",1,Tiers!I54))),                            IF(Tiers!F54="","",Tiers!F54*MAX(50,IF(Tiers!I54="",1,Tiers!I54)))),IF(Tiers!D54="flat",  IF(Inputs!$B$8="annual",IF(Tiers!G54="","",Tiers!G54/12),                            IF(Tiers!H54="","",Tiers!H54)),""))))))</f>
        <v>200</v>
      </c>
      <c r="G57" s="15" t="n">
        <f aca="false">IF(Tiers!K54="yes","",IF(Model!F54=0,"",IF(Tiers!L54&lt;&gt;"public","",IF(AND(Tiers!J54&lt;&gt;"",100&gt;Tiers!J54),"",IF(Tiers!D54="per_seat",  IF(Inputs!$B$8="annual",IF(Tiers!E54="","",Tiers!E54*MAX(100,IF(Tiers!I54="",1,Tiers!I54))),                            IF(Tiers!F54="","",Tiers!F54*MAX(100,IF(Tiers!I54="",1,Tiers!I54)))),IF(Tiers!D54="flat",  IF(Inputs!$B$8="annual",IF(Tiers!G54="","",Tiers!G54/12),                            IF(Tiers!H54="","",Tiers!H54)),""))))))</f>
        <v>400</v>
      </c>
      <c r="H57" s="15" t="n">
        <f aca="false">IF(Tiers!K54="yes","",IF(Model!F54=0,"",IF(Tiers!L54&lt;&gt;"public","",IF(AND(Tiers!J54&lt;&gt;"",250&gt;Tiers!J54),"",IF(Tiers!D54="per_seat",  IF(Inputs!$B$8="annual",IF(Tiers!E54="","",Tiers!E54*MAX(250,IF(Tiers!I54="",1,Tiers!I54))),                            IF(Tiers!F54="","",Tiers!F54*MAX(250,IF(Tiers!I54="",1,Tiers!I54)))),IF(Tiers!D54="flat",  IF(Inputs!$B$8="annual",IF(Tiers!G54="","",Tiers!G54/12),                            IF(Tiers!H54="","",Tiers!H54)),""))))))</f>
        <v>1000</v>
      </c>
    </row>
    <row r="58" customFormat="false" ht="15" hidden="false" customHeight="false" outlineLevel="0" collapsed="false">
      <c r="A58" s="20" t="str">
        <f aca="false">Tiers!A55</f>
        <v>Zoho Projects</v>
      </c>
      <c r="B58" s="20" t="str">
        <f aca="false">Tiers!B55</f>
        <v>Enterprise</v>
      </c>
      <c r="C58" s="17" t="n">
        <f aca="false">IF(Tiers!K55="yes","",IF(Model!F55=0,"",IF(Tiers!L55&lt;&gt;"public","",IF(AND(Tiers!J55&lt;&gt;"",5&gt;Tiers!J55),"",IF(Tiers!D55="per_seat",  IF(Inputs!$B$8="annual",IF(Tiers!E55="","",Tiers!E55*MAX(5,IF(Tiers!I55="",1,Tiers!I55))),                            IF(Tiers!F55="","",Tiers!F55*MAX(5,IF(Tiers!I55="",1,Tiers!I55)))),IF(Tiers!D55="flat",  IF(Inputs!$B$8="annual",IF(Tiers!G55="","",Tiers!G55/12),                            IF(Tiers!H55="","",Tiers!H55)),""))))))</f>
        <v>45</v>
      </c>
      <c r="D58" s="17" t="n">
        <f aca="false">IF(Tiers!K55="yes","",IF(Model!F55=0,"",IF(Tiers!L55&lt;&gt;"public","",IF(AND(Tiers!J55&lt;&gt;"",10&gt;Tiers!J55),"",IF(Tiers!D55="per_seat",  IF(Inputs!$B$8="annual",IF(Tiers!E55="","",Tiers!E55*MAX(10,IF(Tiers!I55="",1,Tiers!I55))),                            IF(Tiers!F55="","",Tiers!F55*MAX(10,IF(Tiers!I55="",1,Tiers!I55)))),IF(Tiers!D55="flat",  IF(Inputs!$B$8="annual",IF(Tiers!G55="","",Tiers!G55/12),                            IF(Tiers!H55="","",Tiers!H55)),""))))))</f>
        <v>90</v>
      </c>
      <c r="E58" s="17" t="n">
        <f aca="false">IF(Tiers!K55="yes","",IF(Model!F55=0,"",IF(Tiers!L55&lt;&gt;"public","",IF(AND(Tiers!J55&lt;&gt;"",25&gt;Tiers!J55),"",IF(Tiers!D55="per_seat",  IF(Inputs!$B$8="annual",IF(Tiers!E55="","",Tiers!E55*MAX(25,IF(Tiers!I55="",1,Tiers!I55))),                            IF(Tiers!F55="","",Tiers!F55*MAX(25,IF(Tiers!I55="",1,Tiers!I55)))),IF(Tiers!D55="flat",  IF(Inputs!$B$8="annual",IF(Tiers!G55="","",Tiers!G55/12),                            IF(Tiers!H55="","",Tiers!H55)),""))))))</f>
        <v>225</v>
      </c>
      <c r="F58" s="17" t="n">
        <f aca="false">IF(Tiers!K55="yes","",IF(Model!F55=0,"",IF(Tiers!L55&lt;&gt;"public","",IF(AND(Tiers!J55&lt;&gt;"",50&gt;Tiers!J55),"",IF(Tiers!D55="per_seat",  IF(Inputs!$B$8="annual",IF(Tiers!E55="","",Tiers!E55*MAX(50,IF(Tiers!I55="",1,Tiers!I55))),                            IF(Tiers!F55="","",Tiers!F55*MAX(50,IF(Tiers!I55="",1,Tiers!I55)))),IF(Tiers!D55="flat",  IF(Inputs!$B$8="annual",IF(Tiers!G55="","",Tiers!G55/12),                            IF(Tiers!H55="","",Tiers!H55)),""))))))</f>
        <v>450</v>
      </c>
      <c r="G58" s="17" t="n">
        <f aca="false">IF(Tiers!K55="yes","",IF(Model!F55=0,"",IF(Tiers!L55&lt;&gt;"public","",IF(AND(Tiers!J55&lt;&gt;"",100&gt;Tiers!J55),"",IF(Tiers!D55="per_seat",  IF(Inputs!$B$8="annual",IF(Tiers!E55="","",Tiers!E55*MAX(100,IF(Tiers!I55="",1,Tiers!I55))),                            IF(Tiers!F55="","",Tiers!F55*MAX(100,IF(Tiers!I55="",1,Tiers!I55)))),IF(Tiers!D55="flat",  IF(Inputs!$B$8="annual",IF(Tiers!G55="","",Tiers!G55/12),                            IF(Tiers!H55="","",Tiers!H55)),""))))))</f>
        <v>900</v>
      </c>
      <c r="H58" s="17" t="n">
        <f aca="false">IF(Tiers!K55="yes","",IF(Model!F55=0,"",IF(Tiers!L55&lt;&gt;"public","",IF(AND(Tiers!J55&lt;&gt;"",250&gt;Tiers!J55),"",IF(Tiers!D55="per_seat",  IF(Inputs!$B$8="annual",IF(Tiers!E55="","",Tiers!E55*MAX(250,IF(Tiers!I55="",1,Tiers!I55))),                            IF(Tiers!F55="","",Tiers!F55*MAX(250,IF(Tiers!I55="",1,Tiers!I55)))),IF(Tiers!D55="flat",  IF(Inputs!$B$8="annual",IF(Tiers!G55="","",Tiers!G55/12),                            IF(Tiers!H55="","",Tiers!H55)),""))))))</f>
        <v>2250</v>
      </c>
    </row>
    <row r="59" customFormat="false" ht="15" hidden="false" customHeight="false" outlineLevel="0" collapsed="false">
      <c r="A59" s="18" t="str">
        <f aca="false">Tiers!A56</f>
        <v>Zoho Projects</v>
      </c>
      <c r="B59" s="18" t="str">
        <f aca="false">Tiers!B56</f>
        <v>Ultimate</v>
      </c>
      <c r="C59" s="15" t="n">
        <f aca="false">IF(Tiers!K56="yes","",IF(Model!F56=0,"",IF(Tiers!L56&lt;&gt;"public","",IF(AND(Tiers!J56&lt;&gt;"",5&gt;Tiers!J56),"",IF(Tiers!D56="per_seat",  IF(Inputs!$B$8="annual",IF(Tiers!E56="","",Tiers!E56*MAX(5,IF(Tiers!I56="",1,Tiers!I56))),                            IF(Tiers!F56="","",Tiers!F56*MAX(5,IF(Tiers!I56="",1,Tiers!I56)))),IF(Tiers!D56="flat",  IF(Inputs!$B$8="annual",IF(Tiers!G56="","",Tiers!G56/12),                            IF(Tiers!H56="","",Tiers!H56)),""))))))</f>
        <v>70</v>
      </c>
      <c r="D59" s="15" t="n">
        <f aca="false">IF(Tiers!K56="yes","",IF(Model!F56=0,"",IF(Tiers!L56&lt;&gt;"public","",IF(AND(Tiers!J56&lt;&gt;"",10&gt;Tiers!J56),"",IF(Tiers!D56="per_seat",  IF(Inputs!$B$8="annual",IF(Tiers!E56="","",Tiers!E56*MAX(10,IF(Tiers!I56="",1,Tiers!I56))),                            IF(Tiers!F56="","",Tiers!F56*MAX(10,IF(Tiers!I56="",1,Tiers!I56)))),IF(Tiers!D56="flat",  IF(Inputs!$B$8="annual",IF(Tiers!G56="","",Tiers!G56/12),                            IF(Tiers!H56="","",Tiers!H56)),""))))))</f>
        <v>140</v>
      </c>
      <c r="E59" s="15" t="n">
        <f aca="false">IF(Tiers!K56="yes","",IF(Model!F56=0,"",IF(Tiers!L56&lt;&gt;"public","",IF(AND(Tiers!J56&lt;&gt;"",25&gt;Tiers!J56),"",IF(Tiers!D56="per_seat",  IF(Inputs!$B$8="annual",IF(Tiers!E56="","",Tiers!E56*MAX(25,IF(Tiers!I56="",1,Tiers!I56))),                            IF(Tiers!F56="","",Tiers!F56*MAX(25,IF(Tiers!I56="",1,Tiers!I56)))),IF(Tiers!D56="flat",  IF(Inputs!$B$8="annual",IF(Tiers!G56="","",Tiers!G56/12),                            IF(Tiers!H56="","",Tiers!H56)),""))))))</f>
        <v>350</v>
      </c>
      <c r="F59" s="15" t="n">
        <f aca="false">IF(Tiers!K56="yes","",IF(Model!F56=0,"",IF(Tiers!L56&lt;&gt;"public","",IF(AND(Tiers!J56&lt;&gt;"",50&gt;Tiers!J56),"",IF(Tiers!D56="per_seat",  IF(Inputs!$B$8="annual",IF(Tiers!E56="","",Tiers!E56*MAX(50,IF(Tiers!I56="",1,Tiers!I56))),                            IF(Tiers!F56="","",Tiers!F56*MAX(50,IF(Tiers!I56="",1,Tiers!I56)))),IF(Tiers!D56="flat",  IF(Inputs!$B$8="annual",IF(Tiers!G56="","",Tiers!G56/12),                            IF(Tiers!H56="","",Tiers!H56)),""))))))</f>
        <v>700</v>
      </c>
      <c r="G59" s="15" t="n">
        <f aca="false">IF(Tiers!K56="yes","",IF(Model!F56=0,"",IF(Tiers!L56&lt;&gt;"public","",IF(AND(Tiers!J56&lt;&gt;"",100&gt;Tiers!J56),"",IF(Tiers!D56="per_seat",  IF(Inputs!$B$8="annual",IF(Tiers!E56="","",Tiers!E56*MAX(100,IF(Tiers!I56="",1,Tiers!I56))),                            IF(Tiers!F56="","",Tiers!F56*MAX(100,IF(Tiers!I56="",1,Tiers!I56)))),IF(Tiers!D56="flat",  IF(Inputs!$B$8="annual",IF(Tiers!G56="","",Tiers!G56/12),                            IF(Tiers!H56="","",Tiers!H56)),""))))))</f>
        <v>1400</v>
      </c>
      <c r="H59" s="15" t="n">
        <f aca="false">IF(Tiers!K56="yes","",IF(Model!F56=0,"",IF(Tiers!L56&lt;&gt;"public","",IF(AND(Tiers!J56&lt;&gt;"",250&gt;Tiers!J56),"",IF(Tiers!D56="per_seat",  IF(Inputs!$B$8="annual",IF(Tiers!E56="","",Tiers!E56*MAX(250,IF(Tiers!I56="",1,Tiers!I56))),                            IF(Tiers!F56="","",Tiers!F56*MAX(250,IF(Tiers!I56="",1,Tiers!I56)))),IF(Tiers!D56="flat",  IF(Inputs!$B$8="annual",IF(Tiers!G56="","",Tiers!G56/12),                            IF(Tiers!H56="","",Tiers!H56)),""))))))</f>
        <v>3500</v>
      </c>
    </row>
    <row r="60" customFormat="false" ht="15" hidden="false" customHeight="false" outlineLevel="0" collapsed="false">
      <c r="A60" s="20" t="str">
        <f aca="false">Tiers!A57</f>
        <v>GanttPRO</v>
      </c>
      <c r="B60" s="20" t="str">
        <f aca="false">Tiers!B57</f>
        <v>Core</v>
      </c>
      <c r="C60" s="17" t="n">
        <f aca="false">IF(Tiers!K57="yes","",IF(Model!F57=0,"",IF(Tiers!L57&lt;&gt;"public","",IF(AND(Tiers!J57&lt;&gt;"",5&gt;Tiers!J57),"",IF(Tiers!D57="per_seat",  IF(Inputs!$B$8="annual",IF(Tiers!E57="","",Tiers!E57*MAX(5,IF(Tiers!I57="",1,Tiers!I57))),                            IF(Tiers!F57="","",Tiers!F57*MAX(5,IF(Tiers!I57="",1,Tiers!I57)))),IF(Tiers!D57="flat",  IF(Inputs!$B$8="annual",IF(Tiers!G57="","",Tiers!G57/12),                            IF(Tiers!H57="","",Tiers!H57)),""))))))</f>
        <v>35</v>
      </c>
      <c r="D60" s="17" t="n">
        <f aca="false">IF(Tiers!K57="yes","",IF(Model!F57=0,"",IF(Tiers!L57&lt;&gt;"public","",IF(AND(Tiers!J57&lt;&gt;"",10&gt;Tiers!J57),"",IF(Tiers!D57="per_seat",  IF(Inputs!$B$8="annual",IF(Tiers!E57="","",Tiers!E57*MAX(10,IF(Tiers!I57="",1,Tiers!I57))),                            IF(Tiers!F57="","",Tiers!F57*MAX(10,IF(Tiers!I57="",1,Tiers!I57)))),IF(Tiers!D57="flat",  IF(Inputs!$B$8="annual",IF(Tiers!G57="","",Tiers!G57/12),                            IF(Tiers!H57="","",Tiers!H57)),""))))))</f>
        <v>70</v>
      </c>
      <c r="E60" s="17" t="n">
        <f aca="false">IF(Tiers!K57="yes","",IF(Model!F57=0,"",IF(Tiers!L57&lt;&gt;"public","",IF(AND(Tiers!J57&lt;&gt;"",25&gt;Tiers!J57),"",IF(Tiers!D57="per_seat",  IF(Inputs!$B$8="annual",IF(Tiers!E57="","",Tiers!E57*MAX(25,IF(Tiers!I57="",1,Tiers!I57))),                            IF(Tiers!F57="","",Tiers!F57*MAX(25,IF(Tiers!I57="",1,Tiers!I57)))),IF(Tiers!D57="flat",  IF(Inputs!$B$8="annual",IF(Tiers!G57="","",Tiers!G57/12),                            IF(Tiers!H57="","",Tiers!H57)),""))))))</f>
        <v>175</v>
      </c>
      <c r="F60" s="17" t="n">
        <f aca="false">IF(Tiers!K57="yes","",IF(Model!F57=0,"",IF(Tiers!L57&lt;&gt;"public","",IF(AND(Tiers!J57&lt;&gt;"",50&gt;Tiers!J57),"",IF(Tiers!D57="per_seat",  IF(Inputs!$B$8="annual",IF(Tiers!E57="","",Tiers!E57*MAX(50,IF(Tiers!I57="",1,Tiers!I57))),                            IF(Tiers!F57="","",Tiers!F57*MAX(50,IF(Tiers!I57="",1,Tiers!I57)))),IF(Tiers!D57="flat",  IF(Inputs!$B$8="annual",IF(Tiers!G57="","",Tiers!G57/12),                            IF(Tiers!H57="","",Tiers!H57)),""))))))</f>
        <v>350</v>
      </c>
      <c r="G60" s="17" t="n">
        <f aca="false">IF(Tiers!K57="yes","",IF(Model!F57=0,"",IF(Tiers!L57&lt;&gt;"public","",IF(AND(Tiers!J57&lt;&gt;"",100&gt;Tiers!J57),"",IF(Tiers!D57="per_seat",  IF(Inputs!$B$8="annual",IF(Tiers!E57="","",Tiers!E57*MAX(100,IF(Tiers!I57="",1,Tiers!I57))),                            IF(Tiers!F57="","",Tiers!F57*MAX(100,IF(Tiers!I57="",1,Tiers!I57)))),IF(Tiers!D57="flat",  IF(Inputs!$B$8="annual",IF(Tiers!G57="","",Tiers!G57/12),                            IF(Tiers!H57="","",Tiers!H57)),""))))))</f>
        <v>700</v>
      </c>
      <c r="H60" s="17" t="n">
        <f aca="false">IF(Tiers!K57="yes","",IF(Model!F57=0,"",IF(Tiers!L57&lt;&gt;"public","",IF(AND(Tiers!J57&lt;&gt;"",250&gt;Tiers!J57),"",IF(Tiers!D57="per_seat",  IF(Inputs!$B$8="annual",IF(Tiers!E57="","",Tiers!E57*MAX(250,IF(Tiers!I57="",1,Tiers!I57))),                            IF(Tiers!F57="","",Tiers!F57*MAX(250,IF(Tiers!I57="",1,Tiers!I57)))),IF(Tiers!D57="flat",  IF(Inputs!$B$8="annual",IF(Tiers!G57="","",Tiers!G57/12),                            IF(Tiers!H57="","",Tiers!H57)),""))))))</f>
        <v>1750</v>
      </c>
    </row>
    <row r="61" customFormat="false" ht="15" hidden="false" customHeight="false" outlineLevel="0" collapsed="false">
      <c r="A61" s="18" t="str">
        <f aca="false">Tiers!A58</f>
        <v>GanttPRO</v>
      </c>
      <c r="B61" s="18" t="str">
        <f aca="false">Tiers!B58</f>
        <v>Advanced</v>
      </c>
      <c r="C61" s="15" t="n">
        <f aca="false">IF(Tiers!K58="yes","",IF(Model!F58=0,"",IF(Tiers!L58&lt;&gt;"public","",IF(AND(Tiers!J58&lt;&gt;"",5&gt;Tiers!J58),"",IF(Tiers!D58="per_seat",  IF(Inputs!$B$8="annual",IF(Tiers!E58="","",Tiers!E58*MAX(5,IF(Tiers!I58="",1,Tiers!I58))),                            IF(Tiers!F58="","",Tiers!F58*MAX(5,IF(Tiers!I58="",1,Tiers!I58)))),IF(Tiers!D58="flat",  IF(Inputs!$B$8="annual",IF(Tiers!G58="","",Tiers!G58/12),                            IF(Tiers!H58="","",Tiers!H58)),""))))))</f>
        <v>50</v>
      </c>
      <c r="D61" s="15" t="n">
        <f aca="false">IF(Tiers!K58="yes","",IF(Model!F58=0,"",IF(Tiers!L58&lt;&gt;"public","",IF(AND(Tiers!J58&lt;&gt;"",10&gt;Tiers!J58),"",IF(Tiers!D58="per_seat",  IF(Inputs!$B$8="annual",IF(Tiers!E58="","",Tiers!E58*MAX(10,IF(Tiers!I58="",1,Tiers!I58))),                            IF(Tiers!F58="","",Tiers!F58*MAX(10,IF(Tiers!I58="",1,Tiers!I58)))),IF(Tiers!D58="flat",  IF(Inputs!$B$8="annual",IF(Tiers!G58="","",Tiers!G58/12),                            IF(Tiers!H58="","",Tiers!H58)),""))))))</f>
        <v>100</v>
      </c>
      <c r="E61" s="15" t="n">
        <f aca="false">IF(Tiers!K58="yes","",IF(Model!F58=0,"",IF(Tiers!L58&lt;&gt;"public","",IF(AND(Tiers!J58&lt;&gt;"",25&gt;Tiers!J58),"",IF(Tiers!D58="per_seat",  IF(Inputs!$B$8="annual",IF(Tiers!E58="","",Tiers!E58*MAX(25,IF(Tiers!I58="",1,Tiers!I58))),                            IF(Tiers!F58="","",Tiers!F58*MAX(25,IF(Tiers!I58="",1,Tiers!I58)))),IF(Tiers!D58="flat",  IF(Inputs!$B$8="annual",IF(Tiers!G58="","",Tiers!G58/12),                            IF(Tiers!H58="","",Tiers!H58)),""))))))</f>
        <v>250</v>
      </c>
      <c r="F61" s="15" t="n">
        <f aca="false">IF(Tiers!K58="yes","",IF(Model!F58=0,"",IF(Tiers!L58&lt;&gt;"public","",IF(AND(Tiers!J58&lt;&gt;"",50&gt;Tiers!J58),"",IF(Tiers!D58="per_seat",  IF(Inputs!$B$8="annual",IF(Tiers!E58="","",Tiers!E58*MAX(50,IF(Tiers!I58="",1,Tiers!I58))),                            IF(Tiers!F58="","",Tiers!F58*MAX(50,IF(Tiers!I58="",1,Tiers!I58)))),IF(Tiers!D58="flat",  IF(Inputs!$B$8="annual",IF(Tiers!G58="","",Tiers!G58/12),                            IF(Tiers!H58="","",Tiers!H58)),""))))))</f>
        <v>500</v>
      </c>
      <c r="G61" s="15" t="n">
        <f aca="false">IF(Tiers!K58="yes","",IF(Model!F58=0,"",IF(Tiers!L58&lt;&gt;"public","",IF(AND(Tiers!J58&lt;&gt;"",100&gt;Tiers!J58),"",IF(Tiers!D58="per_seat",  IF(Inputs!$B$8="annual",IF(Tiers!E58="","",Tiers!E58*MAX(100,IF(Tiers!I58="",1,Tiers!I58))),                            IF(Tiers!F58="","",Tiers!F58*MAX(100,IF(Tiers!I58="",1,Tiers!I58)))),IF(Tiers!D58="flat",  IF(Inputs!$B$8="annual",IF(Tiers!G58="","",Tiers!G58/12),                            IF(Tiers!H58="","",Tiers!H58)),""))))))</f>
        <v>1000</v>
      </c>
      <c r="H61" s="15" t="n">
        <f aca="false">IF(Tiers!K58="yes","",IF(Model!F58=0,"",IF(Tiers!L58&lt;&gt;"public","",IF(AND(Tiers!J58&lt;&gt;"",250&gt;Tiers!J58),"",IF(Tiers!D58="per_seat",  IF(Inputs!$B$8="annual",IF(Tiers!E58="","",Tiers!E58*MAX(250,IF(Tiers!I58="",1,Tiers!I58))),                            IF(Tiers!F58="","",Tiers!F58*MAX(250,IF(Tiers!I58="",1,Tiers!I58)))),IF(Tiers!D58="flat",  IF(Inputs!$B$8="annual",IF(Tiers!G58="","",Tiers!G58/12),                            IF(Tiers!H58="","",Tiers!H58)),""))))))</f>
        <v>2500</v>
      </c>
    </row>
    <row r="62" customFormat="false" ht="15" hidden="false" customHeight="false" outlineLevel="0" collapsed="false">
      <c r="A62" s="20" t="str">
        <f aca="false">Tiers!A59</f>
        <v>GanttPRO</v>
      </c>
      <c r="B62" s="20" t="str">
        <f aca="false">Tiers!B59</f>
        <v>Business</v>
      </c>
      <c r="C62" s="17" t="n">
        <f aca="false">IF(Tiers!K59="yes","",IF(Model!F59=0,"",IF(Tiers!L59&lt;&gt;"public","",IF(AND(Tiers!J59&lt;&gt;"",5&gt;Tiers!J59),"",IF(Tiers!D59="per_seat",  IF(Inputs!$B$8="annual",IF(Tiers!E59="","",Tiers!E59*MAX(5,IF(Tiers!I59="",1,Tiers!I59))),                            IF(Tiers!F59="","",Tiers!F59*MAX(5,IF(Tiers!I59="",1,Tiers!I59)))),IF(Tiers!D59="flat",  IF(Inputs!$B$8="annual",IF(Tiers!G59="","",Tiers!G59/12),                            IF(Tiers!H59="","",Tiers!H59)),""))))))</f>
        <v>85</v>
      </c>
      <c r="D62" s="17" t="n">
        <f aca="false">IF(Tiers!K59="yes","",IF(Model!F59=0,"",IF(Tiers!L59&lt;&gt;"public","",IF(AND(Tiers!J59&lt;&gt;"",10&gt;Tiers!J59),"",IF(Tiers!D59="per_seat",  IF(Inputs!$B$8="annual",IF(Tiers!E59="","",Tiers!E59*MAX(10,IF(Tiers!I59="",1,Tiers!I59))),                            IF(Tiers!F59="","",Tiers!F59*MAX(10,IF(Tiers!I59="",1,Tiers!I59)))),IF(Tiers!D59="flat",  IF(Inputs!$B$8="annual",IF(Tiers!G59="","",Tiers!G59/12),                            IF(Tiers!H59="","",Tiers!H59)),""))))))</f>
        <v>170</v>
      </c>
      <c r="E62" s="17" t="n">
        <f aca="false">IF(Tiers!K59="yes","",IF(Model!F59=0,"",IF(Tiers!L59&lt;&gt;"public","",IF(AND(Tiers!J59&lt;&gt;"",25&gt;Tiers!J59),"",IF(Tiers!D59="per_seat",  IF(Inputs!$B$8="annual",IF(Tiers!E59="","",Tiers!E59*MAX(25,IF(Tiers!I59="",1,Tiers!I59))),                            IF(Tiers!F59="","",Tiers!F59*MAX(25,IF(Tiers!I59="",1,Tiers!I59)))),IF(Tiers!D59="flat",  IF(Inputs!$B$8="annual",IF(Tiers!G59="","",Tiers!G59/12),                            IF(Tiers!H59="","",Tiers!H59)),""))))))</f>
        <v>425</v>
      </c>
      <c r="F62" s="17" t="n">
        <f aca="false">IF(Tiers!K59="yes","",IF(Model!F59=0,"",IF(Tiers!L59&lt;&gt;"public","",IF(AND(Tiers!J59&lt;&gt;"",50&gt;Tiers!J59),"",IF(Tiers!D59="per_seat",  IF(Inputs!$B$8="annual",IF(Tiers!E59="","",Tiers!E59*MAX(50,IF(Tiers!I59="",1,Tiers!I59))),                            IF(Tiers!F59="","",Tiers!F59*MAX(50,IF(Tiers!I59="",1,Tiers!I59)))),IF(Tiers!D59="flat",  IF(Inputs!$B$8="annual",IF(Tiers!G59="","",Tiers!G59/12),                            IF(Tiers!H59="","",Tiers!H59)),""))))))</f>
        <v>850</v>
      </c>
      <c r="G62" s="17" t="n">
        <f aca="false">IF(Tiers!K59="yes","",IF(Model!F59=0,"",IF(Tiers!L59&lt;&gt;"public","",IF(AND(Tiers!J59&lt;&gt;"",100&gt;Tiers!J59),"",IF(Tiers!D59="per_seat",  IF(Inputs!$B$8="annual",IF(Tiers!E59="","",Tiers!E59*MAX(100,IF(Tiers!I59="",1,Tiers!I59))),                            IF(Tiers!F59="","",Tiers!F59*MAX(100,IF(Tiers!I59="",1,Tiers!I59)))),IF(Tiers!D59="flat",  IF(Inputs!$B$8="annual",IF(Tiers!G59="","",Tiers!G59/12),                            IF(Tiers!H59="","",Tiers!H59)),""))))))</f>
        <v>1700</v>
      </c>
      <c r="H62" s="17" t="n">
        <f aca="false">IF(Tiers!K59="yes","",IF(Model!F59=0,"",IF(Tiers!L59&lt;&gt;"public","",IF(AND(Tiers!J59&lt;&gt;"",250&gt;Tiers!J59),"",IF(Tiers!D59="per_seat",  IF(Inputs!$B$8="annual",IF(Tiers!E59="","",Tiers!E59*MAX(250,IF(Tiers!I59="",1,Tiers!I59))),                            IF(Tiers!F59="","",Tiers!F59*MAX(250,IF(Tiers!I59="",1,Tiers!I59)))),IF(Tiers!D59="flat",  IF(Inputs!$B$8="annual",IF(Tiers!G59="","",Tiers!G59/12),                            IF(Tiers!H59="","",Tiers!H59)),""))))))</f>
        <v>4250</v>
      </c>
    </row>
    <row r="63" customFormat="false" ht="15" hidden="false" customHeight="false" outlineLevel="0" collapsed="false">
      <c r="A63" s="18" t="str">
        <f aca="false">Tiers!A60</f>
        <v>GanttPRO</v>
      </c>
      <c r="B63" s="18" t="str">
        <f aca="false">Tiers!B60</f>
        <v>Enterprise</v>
      </c>
      <c r="C63" s="15" t="n">
        <f aca="false">IF(Tiers!K60="yes","",IF(Model!F60=0,"",IF(Tiers!L60&lt;&gt;"public","",IF(AND(Tiers!J60&lt;&gt;"",5&gt;Tiers!J60),"",IF(Tiers!D60="per_seat",  IF(Inputs!$B$8="annual",IF(Tiers!E60="","",Tiers!E60*MAX(5,IF(Tiers!I60="",1,Tiers!I60))),                            IF(Tiers!F60="","",Tiers!F60*MAX(5,IF(Tiers!I60="",1,Tiers!I60)))),IF(Tiers!D60="flat",  IF(Inputs!$B$8="annual",IF(Tiers!G60="","",Tiers!G60/12),                            IF(Tiers!H60="","",Tiers!H60)),""))))))</f>
        <v>100</v>
      </c>
      <c r="D63" s="15" t="n">
        <f aca="false">IF(Tiers!K60="yes","",IF(Model!F60=0,"",IF(Tiers!L60&lt;&gt;"public","",IF(AND(Tiers!J60&lt;&gt;"",10&gt;Tiers!J60),"",IF(Tiers!D60="per_seat",  IF(Inputs!$B$8="annual",IF(Tiers!E60="","",Tiers!E60*MAX(10,IF(Tiers!I60="",1,Tiers!I60))),                            IF(Tiers!F60="","",Tiers!F60*MAX(10,IF(Tiers!I60="",1,Tiers!I60)))),IF(Tiers!D60="flat",  IF(Inputs!$B$8="annual",IF(Tiers!G60="","",Tiers!G60/12),                            IF(Tiers!H60="","",Tiers!H60)),""))))))</f>
        <v>200</v>
      </c>
      <c r="E63" s="15" t="n">
        <f aca="false">IF(Tiers!K60="yes","",IF(Model!F60=0,"",IF(Tiers!L60&lt;&gt;"public","",IF(AND(Tiers!J60&lt;&gt;"",25&gt;Tiers!J60),"",IF(Tiers!D60="per_seat",  IF(Inputs!$B$8="annual",IF(Tiers!E60="","",Tiers!E60*MAX(25,IF(Tiers!I60="",1,Tiers!I60))),                            IF(Tiers!F60="","",Tiers!F60*MAX(25,IF(Tiers!I60="",1,Tiers!I60)))),IF(Tiers!D60="flat",  IF(Inputs!$B$8="annual",IF(Tiers!G60="","",Tiers!G60/12),                            IF(Tiers!H60="","",Tiers!H60)),""))))))</f>
        <v>500</v>
      </c>
      <c r="F63" s="15" t="n">
        <f aca="false">IF(Tiers!K60="yes","",IF(Model!F60=0,"",IF(Tiers!L60&lt;&gt;"public","",IF(AND(Tiers!J60&lt;&gt;"",50&gt;Tiers!J60),"",IF(Tiers!D60="per_seat",  IF(Inputs!$B$8="annual",IF(Tiers!E60="","",Tiers!E60*MAX(50,IF(Tiers!I60="",1,Tiers!I60))),                            IF(Tiers!F60="","",Tiers!F60*MAX(50,IF(Tiers!I60="",1,Tiers!I60)))),IF(Tiers!D60="flat",  IF(Inputs!$B$8="annual",IF(Tiers!G60="","",Tiers!G60/12),                            IF(Tiers!H60="","",Tiers!H60)),""))))))</f>
        <v>1000</v>
      </c>
      <c r="G63" s="15" t="n">
        <f aca="false">IF(Tiers!K60="yes","",IF(Model!F60=0,"",IF(Tiers!L60&lt;&gt;"public","",IF(AND(Tiers!J60&lt;&gt;"",100&gt;Tiers!J60),"",IF(Tiers!D60="per_seat",  IF(Inputs!$B$8="annual",IF(Tiers!E60="","",Tiers!E60*MAX(100,IF(Tiers!I60="",1,Tiers!I60))),                            IF(Tiers!F60="","",Tiers!F60*MAX(100,IF(Tiers!I60="",1,Tiers!I60)))),IF(Tiers!D60="flat",  IF(Inputs!$B$8="annual",IF(Tiers!G60="","",Tiers!G60/12),                            IF(Tiers!H60="","",Tiers!H60)),""))))))</f>
        <v>2000</v>
      </c>
      <c r="H63" s="15" t="n">
        <f aca="false">IF(Tiers!K60="yes","",IF(Model!F60=0,"",IF(Tiers!L60&lt;&gt;"public","",IF(AND(Tiers!J60&lt;&gt;"",250&gt;Tiers!J60),"",IF(Tiers!D60="per_seat",  IF(Inputs!$B$8="annual",IF(Tiers!E60="","",Tiers!E60*MAX(250,IF(Tiers!I60="",1,Tiers!I60))),                            IF(Tiers!F60="","",Tiers!F60*MAX(250,IF(Tiers!I60="",1,Tiers!I60)))),IF(Tiers!D60="flat",  IF(Inputs!$B$8="annual",IF(Tiers!G60="","",Tiers!G60/12),                            IF(Tiers!H60="","",Tiers!H60)),""))))))</f>
        <v>5000</v>
      </c>
    </row>
    <row r="64" customFormat="false" ht="15" hidden="false" customHeight="false" outlineLevel="0" collapsed="false">
      <c r="A64" s="20" t="str">
        <f aca="false">Tiers!A61</f>
        <v>Runrun.it</v>
      </c>
      <c r="B64" s="20" t="str">
        <f aca="false">Tiers!B61</f>
        <v>Free</v>
      </c>
      <c r="C64" s="17" t="str">
        <f aca="false">IF(Tiers!K61="yes","",IF(Model!F61=0,"",IF(Tiers!L61&lt;&gt;"public","",IF(AND(Tiers!J61&lt;&gt;"",5&gt;Tiers!J61),"",IF(Tiers!D61="per_seat",  IF(Inputs!$B$8="annual",IF(Tiers!E61="","",Tiers!E61*MAX(5,IF(Tiers!I61="",1,Tiers!I61))),                            IF(Tiers!F61="","",Tiers!F61*MAX(5,IF(Tiers!I61="",1,Tiers!I61)))),IF(Tiers!D61="flat",  IF(Inputs!$B$8="annual",IF(Tiers!G61="","",Tiers!G61/12),                            IF(Tiers!H61="","",Tiers!H61)),""))))))</f>
        <v/>
      </c>
      <c r="D64" s="17" t="str">
        <f aca="false">IF(Tiers!K61="yes","",IF(Model!F61=0,"",IF(Tiers!L61&lt;&gt;"public","",IF(AND(Tiers!J61&lt;&gt;"",10&gt;Tiers!J61),"",IF(Tiers!D61="per_seat",  IF(Inputs!$B$8="annual",IF(Tiers!E61="","",Tiers!E61*MAX(10,IF(Tiers!I61="",1,Tiers!I61))),                            IF(Tiers!F61="","",Tiers!F61*MAX(10,IF(Tiers!I61="",1,Tiers!I61)))),IF(Tiers!D61="flat",  IF(Inputs!$B$8="annual",IF(Tiers!G61="","",Tiers!G61/12),                            IF(Tiers!H61="","",Tiers!H61)),""))))))</f>
        <v/>
      </c>
      <c r="E64" s="17" t="str">
        <f aca="false">IF(Tiers!K61="yes","",IF(Model!F61=0,"",IF(Tiers!L61&lt;&gt;"public","",IF(AND(Tiers!J61&lt;&gt;"",25&gt;Tiers!J61),"",IF(Tiers!D61="per_seat",  IF(Inputs!$B$8="annual",IF(Tiers!E61="","",Tiers!E61*MAX(25,IF(Tiers!I61="",1,Tiers!I61))),                            IF(Tiers!F61="","",Tiers!F61*MAX(25,IF(Tiers!I61="",1,Tiers!I61)))),IF(Tiers!D61="flat",  IF(Inputs!$B$8="annual",IF(Tiers!G61="","",Tiers!G61/12),                            IF(Tiers!H61="","",Tiers!H61)),""))))))</f>
        <v/>
      </c>
      <c r="F64" s="17" t="str">
        <f aca="false">IF(Tiers!K61="yes","",IF(Model!F61=0,"",IF(Tiers!L61&lt;&gt;"public","",IF(AND(Tiers!J61&lt;&gt;"",50&gt;Tiers!J61),"",IF(Tiers!D61="per_seat",  IF(Inputs!$B$8="annual",IF(Tiers!E61="","",Tiers!E61*MAX(50,IF(Tiers!I61="",1,Tiers!I61))),                            IF(Tiers!F61="","",Tiers!F61*MAX(50,IF(Tiers!I61="",1,Tiers!I61)))),IF(Tiers!D61="flat",  IF(Inputs!$B$8="annual",IF(Tiers!G61="","",Tiers!G61/12),                            IF(Tiers!H61="","",Tiers!H61)),""))))))</f>
        <v/>
      </c>
      <c r="G64" s="17" t="str">
        <f aca="false">IF(Tiers!K61="yes","",IF(Model!F61=0,"",IF(Tiers!L61&lt;&gt;"public","",IF(AND(Tiers!J61&lt;&gt;"",100&gt;Tiers!J61),"",IF(Tiers!D61="per_seat",  IF(Inputs!$B$8="annual",IF(Tiers!E61="","",Tiers!E61*MAX(100,IF(Tiers!I61="",1,Tiers!I61))),                            IF(Tiers!F61="","",Tiers!F61*MAX(100,IF(Tiers!I61="",1,Tiers!I61)))),IF(Tiers!D61="flat",  IF(Inputs!$B$8="annual",IF(Tiers!G61="","",Tiers!G61/12),                            IF(Tiers!H61="","",Tiers!H61)),""))))))</f>
        <v/>
      </c>
      <c r="H64" s="17" t="str">
        <f aca="false">IF(Tiers!K61="yes","",IF(Model!F61=0,"",IF(Tiers!L61&lt;&gt;"public","",IF(AND(Tiers!J61&lt;&gt;"",250&gt;Tiers!J61),"",IF(Tiers!D61="per_seat",  IF(Inputs!$B$8="annual",IF(Tiers!E61="","",Tiers!E61*MAX(250,IF(Tiers!I61="",1,Tiers!I61))),                            IF(Tiers!F61="","",Tiers!F61*MAX(250,IF(Tiers!I61="",1,Tiers!I61)))),IF(Tiers!D61="flat",  IF(Inputs!$B$8="annual",IF(Tiers!G61="","",Tiers!G61/12),                            IF(Tiers!H61="","",Tiers!H61)),""))))))</f>
        <v/>
      </c>
    </row>
    <row r="65" customFormat="false" ht="15" hidden="false" customHeight="false" outlineLevel="0" collapsed="false">
      <c r="A65" s="18" t="str">
        <f aca="false">Tiers!A62</f>
        <v>Runrun.it</v>
      </c>
      <c r="B65" s="18" t="str">
        <f aca="false">Tiers!B62</f>
        <v>Business</v>
      </c>
      <c r="C65" s="15" t="n">
        <f aca="false">IF(Tiers!K62="yes","",IF(Model!F62=0,"",IF(Tiers!L62&lt;&gt;"public","",IF(AND(Tiers!J62&lt;&gt;"",5&gt;Tiers!J62),"",IF(Tiers!D62="per_seat",  IF(Inputs!$B$8="annual",IF(Tiers!E62="","",Tiers!E62*MAX(5,IF(Tiers!I62="",1,Tiers!I62))),                            IF(Tiers!F62="","",Tiers!F62*MAX(5,IF(Tiers!I62="",1,Tiers!I62)))),IF(Tiers!D62="flat",  IF(Inputs!$B$8="annual",IF(Tiers!G62="","",Tiers!G62/12),                            IF(Tiers!H62="","",Tiers!H62)),""))))))</f>
        <v>50</v>
      </c>
      <c r="D65" s="15" t="n">
        <f aca="false">IF(Tiers!K62="yes","",IF(Model!F62=0,"",IF(Tiers!L62&lt;&gt;"public","",IF(AND(Tiers!J62&lt;&gt;"",10&gt;Tiers!J62),"",IF(Tiers!D62="per_seat",  IF(Inputs!$B$8="annual",IF(Tiers!E62="","",Tiers!E62*MAX(10,IF(Tiers!I62="",1,Tiers!I62))),                            IF(Tiers!F62="","",Tiers!F62*MAX(10,IF(Tiers!I62="",1,Tiers!I62)))),IF(Tiers!D62="flat",  IF(Inputs!$B$8="annual",IF(Tiers!G62="","",Tiers!G62/12),                            IF(Tiers!H62="","",Tiers!H62)),""))))))</f>
        <v>100</v>
      </c>
      <c r="E65" s="15" t="n">
        <f aca="false">IF(Tiers!K62="yes","",IF(Model!F62=0,"",IF(Tiers!L62&lt;&gt;"public","",IF(AND(Tiers!J62&lt;&gt;"",25&gt;Tiers!J62),"",IF(Tiers!D62="per_seat",  IF(Inputs!$B$8="annual",IF(Tiers!E62="","",Tiers!E62*MAX(25,IF(Tiers!I62="",1,Tiers!I62))),                            IF(Tiers!F62="","",Tiers!F62*MAX(25,IF(Tiers!I62="",1,Tiers!I62)))),IF(Tiers!D62="flat",  IF(Inputs!$B$8="annual",IF(Tiers!G62="","",Tiers!G62/12),                            IF(Tiers!H62="","",Tiers!H62)),""))))))</f>
        <v>250</v>
      </c>
      <c r="F65" s="15" t="n">
        <f aca="false">IF(Tiers!K62="yes","",IF(Model!F62=0,"",IF(Tiers!L62&lt;&gt;"public","",IF(AND(Tiers!J62&lt;&gt;"",50&gt;Tiers!J62),"",IF(Tiers!D62="per_seat",  IF(Inputs!$B$8="annual",IF(Tiers!E62="","",Tiers!E62*MAX(50,IF(Tiers!I62="",1,Tiers!I62))),                            IF(Tiers!F62="","",Tiers!F62*MAX(50,IF(Tiers!I62="",1,Tiers!I62)))),IF(Tiers!D62="flat",  IF(Inputs!$B$8="annual",IF(Tiers!G62="","",Tiers!G62/12),                            IF(Tiers!H62="","",Tiers!H62)),""))))))</f>
        <v>500</v>
      </c>
      <c r="G65" s="15" t="n">
        <f aca="false">IF(Tiers!K62="yes","",IF(Model!F62=0,"",IF(Tiers!L62&lt;&gt;"public","",IF(AND(Tiers!J62&lt;&gt;"",100&gt;Tiers!J62),"",IF(Tiers!D62="per_seat",  IF(Inputs!$B$8="annual",IF(Tiers!E62="","",Tiers!E62*MAX(100,IF(Tiers!I62="",1,Tiers!I62))),                            IF(Tiers!F62="","",Tiers!F62*MAX(100,IF(Tiers!I62="",1,Tiers!I62)))),IF(Tiers!D62="flat",  IF(Inputs!$B$8="annual",IF(Tiers!G62="","",Tiers!G62/12),                            IF(Tiers!H62="","",Tiers!H62)),""))))))</f>
        <v>1000</v>
      </c>
      <c r="H65" s="15" t="n">
        <f aca="false">IF(Tiers!K62="yes","",IF(Model!F62=0,"",IF(Tiers!L62&lt;&gt;"public","",IF(AND(Tiers!J62&lt;&gt;"",250&gt;Tiers!J62),"",IF(Tiers!D62="per_seat",  IF(Inputs!$B$8="annual",IF(Tiers!E62="","",Tiers!E62*MAX(250,IF(Tiers!I62="",1,Tiers!I62))),                            IF(Tiers!F62="","",Tiers!F62*MAX(250,IF(Tiers!I62="",1,Tiers!I62)))),IF(Tiers!D62="flat",  IF(Inputs!$B$8="annual",IF(Tiers!G62="","",Tiers!G62/12),                            IF(Tiers!H62="","",Tiers!H62)),""))))))</f>
        <v>2500</v>
      </c>
    </row>
    <row r="66" customFormat="false" ht="15" hidden="false" customHeight="false" outlineLevel="0" collapsed="false">
      <c r="A66" s="20" t="str">
        <f aca="false">Tiers!A63</f>
        <v>Runrun.it</v>
      </c>
      <c r="B66" s="20" t="str">
        <f aca="false">Tiers!B63</f>
        <v>Enterprise</v>
      </c>
      <c r="C66" s="17" t="n">
        <f aca="false">IF(Tiers!K63="yes","",IF(Model!F63=0,"",IF(Tiers!L63&lt;&gt;"public","",IF(AND(Tiers!J63&lt;&gt;"",5&gt;Tiers!J63),"",IF(Tiers!D63="per_seat",  IF(Inputs!$B$8="annual",IF(Tiers!E63="","",Tiers!E63*MAX(5,IF(Tiers!I63="",1,Tiers!I63))),                            IF(Tiers!F63="","",Tiers!F63*MAX(5,IF(Tiers!I63="",1,Tiers!I63)))),IF(Tiers!D63="flat",  IF(Inputs!$B$8="annual",IF(Tiers!G63="","",Tiers!G63/12),                            IF(Tiers!H63="","",Tiers!H63)),""))))))</f>
        <v>130</v>
      </c>
      <c r="D66" s="17" t="n">
        <f aca="false">IF(Tiers!K63="yes","",IF(Model!F63=0,"",IF(Tiers!L63&lt;&gt;"public","",IF(AND(Tiers!J63&lt;&gt;"",10&gt;Tiers!J63),"",IF(Tiers!D63="per_seat",  IF(Inputs!$B$8="annual",IF(Tiers!E63="","",Tiers!E63*MAX(10,IF(Tiers!I63="",1,Tiers!I63))),                            IF(Tiers!F63="","",Tiers!F63*MAX(10,IF(Tiers!I63="",1,Tiers!I63)))),IF(Tiers!D63="flat",  IF(Inputs!$B$8="annual",IF(Tiers!G63="","",Tiers!G63/12),                            IF(Tiers!H63="","",Tiers!H63)),""))))))</f>
        <v>260</v>
      </c>
      <c r="E66" s="17" t="n">
        <f aca="false">IF(Tiers!K63="yes","",IF(Model!F63=0,"",IF(Tiers!L63&lt;&gt;"public","",IF(AND(Tiers!J63&lt;&gt;"",25&gt;Tiers!J63),"",IF(Tiers!D63="per_seat",  IF(Inputs!$B$8="annual",IF(Tiers!E63="","",Tiers!E63*MAX(25,IF(Tiers!I63="",1,Tiers!I63))),                            IF(Tiers!F63="","",Tiers!F63*MAX(25,IF(Tiers!I63="",1,Tiers!I63)))),IF(Tiers!D63="flat",  IF(Inputs!$B$8="annual",IF(Tiers!G63="","",Tiers!G63/12),                            IF(Tiers!H63="","",Tiers!H63)),""))))))</f>
        <v>650</v>
      </c>
      <c r="F66" s="17" t="n">
        <f aca="false">IF(Tiers!K63="yes","",IF(Model!F63=0,"",IF(Tiers!L63&lt;&gt;"public","",IF(AND(Tiers!J63&lt;&gt;"",50&gt;Tiers!J63),"",IF(Tiers!D63="per_seat",  IF(Inputs!$B$8="annual",IF(Tiers!E63="","",Tiers!E63*MAX(50,IF(Tiers!I63="",1,Tiers!I63))),                            IF(Tiers!F63="","",Tiers!F63*MAX(50,IF(Tiers!I63="",1,Tiers!I63)))),IF(Tiers!D63="flat",  IF(Inputs!$B$8="annual",IF(Tiers!G63="","",Tiers!G63/12),                            IF(Tiers!H63="","",Tiers!H63)),""))))))</f>
        <v>1300</v>
      </c>
      <c r="G66" s="17" t="n">
        <f aca="false">IF(Tiers!K63="yes","",IF(Model!F63=0,"",IF(Tiers!L63&lt;&gt;"public","",IF(AND(Tiers!J63&lt;&gt;"",100&gt;Tiers!J63),"",IF(Tiers!D63="per_seat",  IF(Inputs!$B$8="annual",IF(Tiers!E63="","",Tiers!E63*MAX(100,IF(Tiers!I63="",1,Tiers!I63))),                            IF(Tiers!F63="","",Tiers!F63*MAX(100,IF(Tiers!I63="",1,Tiers!I63)))),IF(Tiers!D63="flat",  IF(Inputs!$B$8="annual",IF(Tiers!G63="","",Tiers!G63/12),                            IF(Tiers!H63="","",Tiers!H63)),""))))))</f>
        <v>2600</v>
      </c>
      <c r="H66" s="17" t="n">
        <f aca="false">IF(Tiers!K63="yes","",IF(Model!F63=0,"",IF(Tiers!L63&lt;&gt;"public","",IF(AND(Tiers!J63&lt;&gt;"",250&gt;Tiers!J63),"",IF(Tiers!D63="per_seat",  IF(Inputs!$B$8="annual",IF(Tiers!E63="","",Tiers!E63*MAX(250,IF(Tiers!I63="",1,Tiers!I63))),                            IF(Tiers!F63="","",Tiers!F63*MAX(250,IF(Tiers!I63="",1,Tiers!I63)))),IF(Tiers!D63="flat",  IF(Inputs!$B$8="annual",IF(Tiers!G63="","",Tiers!G63/12),                            IF(Tiers!H63="","",Tiers!H63)),""))))))</f>
        <v>6500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3"/>
    <col collapsed="false" customWidth="true" hidden="false" outlineLevel="0" max="8" min="8" style="0" width="16"/>
  </cols>
  <sheetData>
    <row r="1" customFormat="false" ht="17.35" hidden="false" customHeight="false" outlineLevel="0" collapsed="false">
      <c r="A1" s="5" t="s">
        <v>179</v>
      </c>
    </row>
    <row r="2" customFormat="false" ht="15" hidden="false" customHeight="false" outlineLevel="0" collapsed="false">
      <c r="A2" s="6" t="s">
        <v>180</v>
      </c>
    </row>
    <row r="4" customFormat="false" ht="15" hidden="false" customHeight="false" outlineLevel="0" collapsed="false">
      <c r="A4" s="14" t="s">
        <v>39</v>
      </c>
      <c r="B4" s="14" t="s">
        <v>173</v>
      </c>
      <c r="C4" s="14" t="s">
        <v>174</v>
      </c>
      <c r="D4" s="14" t="s">
        <v>175</v>
      </c>
      <c r="E4" s="14" t="s">
        <v>176</v>
      </c>
      <c r="F4" s="14" t="s">
        <v>177</v>
      </c>
      <c r="G4" s="14" t="s">
        <v>178</v>
      </c>
      <c r="H4" s="14" t="s">
        <v>181</v>
      </c>
    </row>
    <row r="5" customFormat="false" ht="15" hidden="false" customHeight="false" outlineLevel="0" collapsed="false">
      <c r="A5" s="8" t="s">
        <v>57</v>
      </c>
      <c r="B5" s="15" t="n">
        <f aca="false">IF(IFERROR(_xlfn.MINIFS(Grid!$C$5:$C$66,Grid!$A$5:$A$66,$A5),0)=0,"",_xlfn.MINIFS(Grid!$C$5:$C$66,Grid!$A$5:$A$66,$A5))</f>
        <v>45</v>
      </c>
      <c r="C5" s="15" t="n">
        <f aca="false">IF(IFERROR(_xlfn.MINIFS(Grid!$D$5:$D$66,Grid!$A$5:$A$66,$A5),0)=0,"",_xlfn.MINIFS(Grid!$D$5:$D$66,Grid!$A$5:$A$66,$A5))</f>
        <v>90</v>
      </c>
      <c r="D5" s="15" t="n">
        <f aca="false">IF(IFERROR(_xlfn.MINIFS(Grid!$E$5:$E$66,Grid!$A$5:$A$66,$A5),0)=0,"",_xlfn.MINIFS(Grid!$E$5:$E$66,Grid!$A$5:$A$66,$A5))</f>
        <v>475</v>
      </c>
      <c r="E5" s="15" t="n">
        <f aca="false">IF(IFERROR(_xlfn.MINIFS(Grid!$F$5:$F$66,Grid!$A$5:$A$66,$A5),0)=0,"",_xlfn.MINIFS(Grid!$F$5:$F$66,Grid!$A$5:$A$66,$A5))</f>
        <v>950</v>
      </c>
      <c r="F5" s="15" t="n">
        <f aca="false">IF(IFERROR(_xlfn.MINIFS(Grid!$G$5:$G$66,Grid!$A$5:$A$66,$A5),0)=0,"",_xlfn.MINIFS(Grid!$G$5:$G$66,Grid!$A$5:$A$66,$A5))</f>
        <v>1900</v>
      </c>
      <c r="G5" s="15" t="n">
        <f aca="false">IF(IFERROR(_xlfn.MINIFS(Grid!$H$5:$H$66,Grid!$A$5:$A$66,$A5),0)=0,"",_xlfn.MINIFS(Grid!$H$5:$H$66,Grid!$A$5:$A$66,$A5))</f>
        <v>4750</v>
      </c>
      <c r="H5" s="15" t="n">
        <f aca="false">IF(F5="","",F5/100)</f>
        <v>19</v>
      </c>
    </row>
    <row r="6" customFormat="false" ht="15" hidden="false" customHeight="false" outlineLevel="0" collapsed="false">
      <c r="A6" s="16" t="s">
        <v>71</v>
      </c>
      <c r="B6" s="17" t="n">
        <f aca="false">IF(IFERROR(_xlfn.MINIFS(Grid!$C$5:$C$66,Grid!$A$5:$A$66,$A6),0)=0,"",_xlfn.MINIFS(Grid!$C$5:$C$66,Grid!$A$5:$A$66,$A6))</f>
        <v>45</v>
      </c>
      <c r="C6" s="17" t="n">
        <f aca="false">IF(IFERROR(_xlfn.MINIFS(Grid!$D$5:$D$66,Grid!$A$5:$A$66,$A6),0)=0,"",_xlfn.MINIFS(Grid!$D$5:$D$66,Grid!$A$5:$A$66,$A6))</f>
        <v>90</v>
      </c>
      <c r="D6" s="17" t="n">
        <f aca="false">IF(IFERROR(_xlfn.MINIFS(Grid!$E$5:$E$66,Grid!$A$5:$A$66,$A6),0)=0,"",_xlfn.MINIFS(Grid!$E$5:$E$66,Grid!$A$5:$A$66,$A6))</f>
        <v>225</v>
      </c>
      <c r="E6" s="17" t="n">
        <f aca="false">IF(IFERROR(_xlfn.MINIFS(Grid!$F$5:$F$66,Grid!$A$5:$A$66,$A6),0)=0,"",_xlfn.MINIFS(Grid!$F$5:$F$66,Grid!$A$5:$A$66,$A6))</f>
        <v>450</v>
      </c>
      <c r="F6" s="17" t="n">
        <f aca="false">IF(IFERROR(_xlfn.MINIFS(Grid!$G$5:$G$66,Grid!$A$5:$A$66,$A6),0)=0,"",_xlfn.MINIFS(Grid!$G$5:$G$66,Grid!$A$5:$A$66,$A6))</f>
        <v>900</v>
      </c>
      <c r="G6" s="17" t="n">
        <f aca="false">IF(IFERROR(_xlfn.MINIFS(Grid!$H$5:$H$66,Grid!$A$5:$A$66,$A6),0)=0,"",_xlfn.MINIFS(Grid!$H$5:$H$66,Grid!$A$5:$A$66,$A6))</f>
        <v>2250</v>
      </c>
      <c r="H6" s="17" t="n">
        <f aca="false">IF(F6="","",F6/100)</f>
        <v>9</v>
      </c>
    </row>
    <row r="7" customFormat="false" ht="15" hidden="false" customHeight="false" outlineLevel="0" collapsed="false">
      <c r="A7" s="8" t="s">
        <v>79</v>
      </c>
      <c r="B7" s="15" t="n">
        <f aca="false">IF(IFERROR(_xlfn.MINIFS(Grid!$C$5:$C$66,Grid!$A$5:$A$66,$A7),0)=0,"",_xlfn.MINIFS(Grid!$C$5:$C$66,Grid!$A$5:$A$66,$A7))</f>
        <v>35</v>
      </c>
      <c r="C7" s="15" t="n">
        <f aca="false">IF(IFERROR(_xlfn.MINIFS(Grid!$D$5:$D$66,Grid!$A$5:$A$66,$A7),0)=0,"",_xlfn.MINIFS(Grid!$D$5:$D$66,Grid!$A$5:$A$66,$A7))</f>
        <v>70</v>
      </c>
      <c r="D7" s="15" t="n">
        <f aca="false">IF(IFERROR(_xlfn.MINIFS(Grid!$E$5:$E$66,Grid!$A$5:$A$66,$A7),0)=0,"",_xlfn.MINIFS(Grid!$E$5:$E$66,Grid!$A$5:$A$66,$A7))</f>
        <v>175</v>
      </c>
      <c r="E7" s="15" t="n">
        <f aca="false">IF(IFERROR(_xlfn.MINIFS(Grid!$F$5:$F$66,Grid!$A$5:$A$66,$A7),0)=0,"",_xlfn.MINIFS(Grid!$F$5:$F$66,Grid!$A$5:$A$66,$A7))</f>
        <v>350</v>
      </c>
      <c r="F7" s="15" t="n">
        <f aca="false">IF(IFERROR(_xlfn.MINIFS(Grid!$G$5:$G$66,Grid!$A$5:$A$66,$A7),0)=0,"",_xlfn.MINIFS(Grid!$G$5:$G$66,Grid!$A$5:$A$66,$A7))</f>
        <v>700</v>
      </c>
      <c r="G7" s="15" t="n">
        <f aca="false">IF(IFERROR(_xlfn.MINIFS(Grid!$H$5:$H$66,Grid!$A$5:$A$66,$A7),0)=0,"",_xlfn.MINIFS(Grid!$H$5:$H$66,Grid!$A$5:$A$66,$A7))</f>
        <v>1750</v>
      </c>
      <c r="H7" s="15" t="n">
        <f aca="false">IF(F7="","",F7/100)</f>
        <v>7</v>
      </c>
    </row>
    <row r="8" customFormat="false" ht="15" hidden="false" customHeight="false" outlineLevel="0" collapsed="false">
      <c r="A8" s="16" t="s">
        <v>86</v>
      </c>
      <c r="B8" s="17" t="n">
        <f aca="false">IF(IFERROR(_xlfn.MINIFS(Grid!$C$5:$C$66,Grid!$A$5:$A$66,$A8),0)=0,"",_xlfn.MINIFS(Grid!$C$5:$C$66,Grid!$A$5:$A$66,$A8))</f>
        <v>25</v>
      </c>
      <c r="C8" s="17" t="n">
        <f aca="false">IF(IFERROR(_xlfn.MINIFS(Grid!$D$5:$D$66,Grid!$A$5:$A$66,$A8),0)=0,"",_xlfn.MINIFS(Grid!$D$5:$D$66,Grid!$A$5:$A$66,$A8))</f>
        <v>50</v>
      </c>
      <c r="D8" s="17" t="n">
        <f aca="false">IF(IFERROR(_xlfn.MINIFS(Grid!$E$5:$E$66,Grid!$A$5:$A$66,$A8),0)=0,"",_xlfn.MINIFS(Grid!$E$5:$E$66,Grid!$A$5:$A$66,$A8))</f>
        <v>125</v>
      </c>
      <c r="E8" s="17" t="n">
        <f aca="false">IF(IFERROR(_xlfn.MINIFS(Grid!$F$5:$F$66,Grid!$A$5:$A$66,$A8),0)=0,"",_xlfn.MINIFS(Grid!$F$5:$F$66,Grid!$A$5:$A$66,$A8))</f>
        <v>250</v>
      </c>
      <c r="F8" s="17" t="n">
        <f aca="false">IF(IFERROR(_xlfn.MINIFS(Grid!$G$5:$G$66,Grid!$A$5:$A$66,$A8),0)=0,"",_xlfn.MINIFS(Grid!$G$5:$G$66,Grid!$A$5:$A$66,$A8))</f>
        <v>500</v>
      </c>
      <c r="G8" s="17" t="n">
        <f aca="false">IF(IFERROR(_xlfn.MINIFS(Grid!$H$5:$H$66,Grid!$A$5:$A$66,$A8),0)=0,"",_xlfn.MINIFS(Grid!$H$5:$H$66,Grid!$A$5:$A$66,$A8))</f>
        <v>1250</v>
      </c>
      <c r="H8" s="17" t="n">
        <f aca="false">IF(F8="","",F8/100)</f>
        <v>5</v>
      </c>
    </row>
    <row r="9" customFormat="false" ht="15" hidden="false" customHeight="false" outlineLevel="0" collapsed="false">
      <c r="A9" s="8" t="s">
        <v>91</v>
      </c>
      <c r="B9" s="15" t="n">
        <f aca="false">IF(IFERROR(_xlfn.MINIFS(Grid!$C$5:$C$66,Grid!$A$5:$A$66,$A9),0)=0,"",_xlfn.MINIFS(Grid!$C$5:$C$66,Grid!$A$5:$A$66,$A9))</f>
        <v>54.95</v>
      </c>
      <c r="C9" s="15" t="n">
        <f aca="false">IF(IFERROR(_xlfn.MINIFS(Grid!$D$5:$D$66,Grid!$A$5:$A$66,$A9),0)=0,"",_xlfn.MINIFS(Grid!$D$5:$D$66,Grid!$A$5:$A$66,$A9))</f>
        <v>109.9</v>
      </c>
      <c r="D9" s="15" t="n">
        <f aca="false">IF(IFERROR(_xlfn.MINIFS(Grid!$E$5:$E$66,Grid!$A$5:$A$66,$A9),0)=0,"",_xlfn.MINIFS(Grid!$E$5:$E$66,Grid!$A$5:$A$66,$A9))</f>
        <v>274.75</v>
      </c>
      <c r="E9" s="15" t="n">
        <f aca="false">IF(IFERROR(_xlfn.MINIFS(Grid!$F$5:$F$66,Grid!$A$5:$A$66,$A9),0)=0,"",_xlfn.MINIFS(Grid!$F$5:$F$66,Grid!$A$5:$A$66,$A9))</f>
        <v>549.5</v>
      </c>
      <c r="F9" s="15" t="n">
        <f aca="false">IF(IFERROR(_xlfn.MINIFS(Grid!$G$5:$G$66,Grid!$A$5:$A$66,$A9),0)=0,"",_xlfn.MINIFS(Grid!$G$5:$G$66,Grid!$A$5:$A$66,$A9))</f>
        <v>1099</v>
      </c>
      <c r="G9" s="15" t="n">
        <f aca="false">IF(IFERROR(_xlfn.MINIFS(Grid!$H$5:$H$66,Grid!$A$5:$A$66,$A9),0)=0,"",_xlfn.MINIFS(Grid!$H$5:$H$66,Grid!$A$5:$A$66,$A9))</f>
        <v>2747.5</v>
      </c>
      <c r="H9" s="15" t="n">
        <f aca="false">IF(F9="","",F9/100)</f>
        <v>10.99</v>
      </c>
    </row>
    <row r="10" customFormat="false" ht="15" hidden="false" customHeight="false" outlineLevel="0" collapsed="false">
      <c r="A10" s="16" t="s">
        <v>98</v>
      </c>
      <c r="B10" s="17" t="n">
        <f aca="false">IF(IFERROR(_xlfn.MINIFS(Grid!$C$5:$C$66,Grid!$A$5:$A$66,$A10),0)=0,"",_xlfn.MINIFS(Grid!$C$5:$C$66,Grid!$A$5:$A$66,$A10))</f>
        <v>50</v>
      </c>
      <c r="C10" s="17" t="n">
        <f aca="false">IF(IFERROR(_xlfn.MINIFS(Grid!$D$5:$D$66,Grid!$A$5:$A$66,$A10),0)=0,"",_xlfn.MINIFS(Grid!$D$5:$D$66,Grid!$A$5:$A$66,$A10))</f>
        <v>100</v>
      </c>
      <c r="D10" s="17" t="n">
        <f aca="false">IF(IFERROR(_xlfn.MINIFS(Grid!$E$5:$E$66,Grid!$A$5:$A$66,$A10),0)=0,"",_xlfn.MINIFS(Grid!$E$5:$E$66,Grid!$A$5:$A$66,$A10))</f>
        <v>250</v>
      </c>
      <c r="E10" s="17" t="n">
        <f aca="false">IF(IFERROR(_xlfn.MINIFS(Grid!$F$5:$F$66,Grid!$A$5:$A$66,$A10),0)=0,"",_xlfn.MINIFS(Grid!$F$5:$F$66,Grid!$A$5:$A$66,$A10))</f>
        <v>500</v>
      </c>
      <c r="F10" s="17" t="n">
        <f aca="false">IF(IFERROR(_xlfn.MINIFS(Grid!$G$5:$G$66,Grid!$A$5:$A$66,$A10),0)=0,"",_xlfn.MINIFS(Grid!$G$5:$G$66,Grid!$A$5:$A$66,$A10))</f>
        <v>1000</v>
      </c>
      <c r="G10" s="17" t="n">
        <f aca="false">IF(IFERROR(_xlfn.MINIFS(Grid!$H$5:$H$66,Grid!$A$5:$A$66,$A10),0)=0,"",_xlfn.MINIFS(Grid!$H$5:$H$66,Grid!$A$5:$A$66,$A10))</f>
        <v>2500</v>
      </c>
      <c r="H10" s="17" t="n">
        <f aca="false">IF(F10="","",F10/100)</f>
        <v>10</v>
      </c>
    </row>
    <row r="11" customFormat="false" ht="15" hidden="false" customHeight="false" outlineLevel="0" collapsed="false">
      <c r="A11" s="8" t="s">
        <v>103</v>
      </c>
      <c r="B11" s="15" t="n">
        <f aca="false">IF(IFERROR(_xlfn.MINIFS(Grid!$C$5:$C$66,Grid!$A$5:$A$66,$A11),0)=0,"",_xlfn.MINIFS(Grid!$C$5:$C$66,Grid!$A$5:$A$66,$A11))</f>
        <v>37.5</v>
      </c>
      <c r="C11" s="15" t="n">
        <f aca="false">IF(IFERROR(_xlfn.MINIFS(Grid!$D$5:$D$66,Grid!$A$5:$A$66,$A11),0)=0,"",_xlfn.MINIFS(Grid!$D$5:$D$66,Grid!$A$5:$A$66,$A11))</f>
        <v>75</v>
      </c>
      <c r="D11" s="15" t="n">
        <f aca="false">IF(IFERROR(_xlfn.MINIFS(Grid!$E$5:$E$66,Grid!$A$5:$A$66,$A11),0)=0,"",_xlfn.MINIFS(Grid!$E$5:$E$66,Grid!$A$5:$A$66,$A11))</f>
        <v>187.5</v>
      </c>
      <c r="E11" s="15" t="n">
        <f aca="false">IF(IFERROR(_xlfn.MINIFS(Grid!$F$5:$F$66,Grid!$A$5:$A$66,$A11),0)=0,"",_xlfn.MINIFS(Grid!$F$5:$F$66,Grid!$A$5:$A$66,$A11))</f>
        <v>375</v>
      </c>
      <c r="F11" s="15" t="n">
        <f aca="false">IF(IFERROR(_xlfn.MINIFS(Grid!$G$5:$G$66,Grid!$A$5:$A$66,$A11),0)=0,"",_xlfn.MINIFS(Grid!$G$5:$G$66,Grid!$A$5:$A$66,$A11))</f>
        <v>750</v>
      </c>
      <c r="G11" s="15" t="n">
        <f aca="false">IF(IFERROR(_xlfn.MINIFS(Grid!$H$5:$H$66,Grid!$A$5:$A$66,$A11),0)=0,"",_xlfn.MINIFS(Grid!$H$5:$H$66,Grid!$A$5:$A$66,$A11))</f>
        <v>1875</v>
      </c>
      <c r="H11" s="15" t="n">
        <f aca="false">IF(F11="","",F11/100)</f>
        <v>7.5</v>
      </c>
    </row>
    <row r="12" customFormat="false" ht="15" hidden="false" customHeight="false" outlineLevel="0" collapsed="false">
      <c r="A12" s="16" t="s">
        <v>108</v>
      </c>
      <c r="B12" s="17" t="n">
        <f aca="false">IF(IFERROR(_xlfn.MINIFS(Grid!$C$5:$C$66,Grid!$A$5:$A$66,$A12),0)=0,"",_xlfn.MINIFS(Grid!$C$5:$C$66,Grid!$A$5:$A$66,$A12))</f>
        <v>20.8333333333333</v>
      </c>
      <c r="C12" s="17" t="n">
        <f aca="false">IF(IFERROR(_xlfn.MINIFS(Grid!$D$5:$D$66,Grid!$A$5:$A$66,$A12),0)=0,"",_xlfn.MINIFS(Grid!$D$5:$D$66,Grid!$A$5:$A$66,$A12))</f>
        <v>20.8333333333333</v>
      </c>
      <c r="D12" s="17" t="n">
        <f aca="false">IF(IFERROR(_xlfn.MINIFS(Grid!$E$5:$E$66,Grid!$A$5:$A$66,$A12),0)=0,"",_xlfn.MINIFS(Grid!$E$5:$E$66,Grid!$A$5:$A$66,$A12))</f>
        <v>49.1666666666667</v>
      </c>
      <c r="E12" s="17" t="n">
        <f aca="false">IF(IFERROR(_xlfn.MINIFS(Grid!$F$5:$F$66,Grid!$A$5:$A$66,$A12),0)=0,"",_xlfn.MINIFS(Grid!$F$5:$F$66,Grid!$A$5:$A$66,$A12))</f>
        <v>49.1666666666667</v>
      </c>
      <c r="F12" s="17" t="n">
        <f aca="false">IF(IFERROR(_xlfn.MINIFS(Grid!$G$5:$G$66,Grid!$A$5:$A$66,$A12),0)=0,"",_xlfn.MINIFS(Grid!$G$5:$G$66,Grid!$A$5:$A$66,$A12))</f>
        <v>49.1666666666667</v>
      </c>
      <c r="G12" s="17" t="n">
        <f aca="false">IF(IFERROR(_xlfn.MINIFS(Grid!$H$5:$H$66,Grid!$A$5:$A$66,$A12),0)=0,"",_xlfn.MINIFS(Grid!$H$5:$H$66,Grid!$A$5:$A$66,$A12))</f>
        <v>49.1666666666667</v>
      </c>
      <c r="H12" s="17" t="n">
        <f aca="false">IF(F12="","",F12/100)</f>
        <v>0.491666666666667</v>
      </c>
    </row>
    <row r="13" customFormat="false" ht="15" hidden="false" customHeight="false" outlineLevel="0" collapsed="false">
      <c r="A13" s="8" t="s">
        <v>118</v>
      </c>
      <c r="B13" s="15" t="n">
        <f aca="false">IF(IFERROR(_xlfn.MINIFS(Grid!$C$5:$C$66,Grid!$A$5:$A$66,$A13),0)=0,"",_xlfn.MINIFS(Grid!$C$5:$C$66,Grid!$A$5:$A$66,$A13))</f>
        <v>50</v>
      </c>
      <c r="C13" s="15" t="n">
        <f aca="false">IF(IFERROR(_xlfn.MINIFS(Grid!$D$5:$D$66,Grid!$A$5:$A$66,$A13),0)=0,"",_xlfn.MINIFS(Grid!$D$5:$D$66,Grid!$A$5:$A$66,$A13))</f>
        <v>100</v>
      </c>
      <c r="D13" s="15" t="n">
        <f aca="false">IF(IFERROR(_xlfn.MINIFS(Grid!$E$5:$E$66,Grid!$A$5:$A$66,$A13),0)=0,"",_xlfn.MINIFS(Grid!$E$5:$E$66,Grid!$A$5:$A$66,$A13))</f>
        <v>625</v>
      </c>
      <c r="E13" s="15" t="n">
        <f aca="false">IF(IFERROR(_xlfn.MINIFS(Grid!$F$5:$F$66,Grid!$A$5:$A$66,$A13),0)=0,"",_xlfn.MINIFS(Grid!$F$5:$F$66,Grid!$A$5:$A$66,$A13))</f>
        <v>1250</v>
      </c>
      <c r="F13" s="15" t="n">
        <f aca="false">IF(IFERROR(_xlfn.MINIFS(Grid!$G$5:$G$66,Grid!$A$5:$A$66,$A13),0)=0,"",_xlfn.MINIFS(Grid!$G$5:$G$66,Grid!$A$5:$A$66,$A13))</f>
        <v>2500</v>
      </c>
      <c r="G13" s="15" t="str">
        <f aca="false">IF(IFERROR(_xlfn.MINIFS(Grid!$H$5:$H$66,Grid!$A$5:$A$66,$A13),0)=0,"",_xlfn.MINIFS(Grid!$H$5:$H$66,Grid!$A$5:$A$66,$A13))</f>
        <v/>
      </c>
      <c r="H13" s="15" t="n">
        <f aca="false">IF(F13="","",F13/100)</f>
        <v>25</v>
      </c>
    </row>
    <row r="14" customFormat="false" ht="15" hidden="false" customHeight="false" outlineLevel="0" collapsed="false">
      <c r="A14" s="16" t="s">
        <v>125</v>
      </c>
      <c r="B14" s="17" t="n">
        <f aca="false">IF(IFERROR(_xlfn.MINIFS(Grid!$C$5:$C$66,Grid!$A$5:$A$66,$A14),0)=0,"",_xlfn.MINIFS(Grid!$C$5:$C$66,Grid!$A$5:$A$66,$A14))</f>
        <v>49.95</v>
      </c>
      <c r="C14" s="17" t="n">
        <f aca="false">IF(IFERROR(_xlfn.MINIFS(Grid!$D$5:$D$66,Grid!$A$5:$A$66,$A14),0)=0,"",_xlfn.MINIFS(Grid!$D$5:$D$66,Grid!$A$5:$A$66,$A14))</f>
        <v>99.9</v>
      </c>
      <c r="D14" s="17" t="n">
        <f aca="false">IF(IFERROR(_xlfn.MINIFS(Grid!$E$5:$E$66,Grid!$A$5:$A$66,$A14),0)=0,"",_xlfn.MINIFS(Grid!$E$5:$E$66,Grid!$A$5:$A$66,$A14))</f>
        <v>249.75</v>
      </c>
      <c r="E14" s="17" t="n">
        <f aca="false">IF(IFERROR(_xlfn.MINIFS(Grid!$F$5:$F$66,Grid!$A$5:$A$66,$A14),0)=0,"",_xlfn.MINIFS(Grid!$F$5:$F$66,Grid!$A$5:$A$66,$A14))</f>
        <v>499.5</v>
      </c>
      <c r="F14" s="17" t="n">
        <f aca="false">IF(IFERROR(_xlfn.MINIFS(Grid!$G$5:$G$66,Grid!$A$5:$A$66,$A14),0)=0,"",_xlfn.MINIFS(Grid!$G$5:$G$66,Grid!$A$5:$A$66,$A14))</f>
        <v>999</v>
      </c>
      <c r="G14" s="17" t="n">
        <f aca="false">IF(IFERROR(_xlfn.MINIFS(Grid!$H$5:$H$66,Grid!$A$5:$A$66,$A14),0)=0,"",_xlfn.MINIFS(Grid!$H$5:$H$66,Grid!$A$5:$A$66,$A14))</f>
        <v>2497.5</v>
      </c>
      <c r="H14" s="17" t="n">
        <f aca="false">IF(F14="","",F14/100)</f>
        <v>9.99</v>
      </c>
    </row>
    <row r="15" customFormat="false" ht="15" hidden="false" customHeight="false" outlineLevel="0" collapsed="false">
      <c r="A15" s="8" t="s">
        <v>132</v>
      </c>
      <c r="B15" s="15" t="str">
        <f aca="false">IF(IFERROR(_xlfn.MINIFS(Grid!$C$5:$C$66,Grid!$A$5:$A$66,$A15),0)=0,"",_xlfn.MINIFS(Grid!$C$5:$C$66,Grid!$A$5:$A$66,$A15))</f>
        <v/>
      </c>
      <c r="C15" s="15" t="str">
        <f aca="false">IF(IFERROR(_xlfn.MINIFS(Grid!$D$5:$D$66,Grid!$A$5:$A$66,$A15),0)=0,"",_xlfn.MINIFS(Grid!$D$5:$D$66,Grid!$A$5:$A$66,$A15))</f>
        <v/>
      </c>
      <c r="D15" s="15" t="str">
        <f aca="false">IF(IFERROR(_xlfn.MINIFS(Grid!$E$5:$E$66,Grid!$A$5:$A$66,$A15),0)=0,"",_xlfn.MINIFS(Grid!$E$5:$E$66,Grid!$A$5:$A$66,$A15))</f>
        <v/>
      </c>
      <c r="E15" s="15" t="str">
        <f aca="false">IF(IFERROR(_xlfn.MINIFS(Grid!$F$5:$F$66,Grid!$A$5:$A$66,$A15),0)=0,"",_xlfn.MINIFS(Grid!$F$5:$F$66,Grid!$A$5:$A$66,$A15))</f>
        <v/>
      </c>
      <c r="F15" s="15" t="str">
        <f aca="false">IF(IFERROR(_xlfn.MINIFS(Grid!$G$5:$G$66,Grid!$A$5:$A$66,$A15),0)=0,"",_xlfn.MINIFS(Grid!$G$5:$G$66,Grid!$A$5:$A$66,$A15))</f>
        <v/>
      </c>
      <c r="G15" s="15" t="str">
        <f aca="false">IF(IFERROR(_xlfn.MINIFS(Grid!$H$5:$H$66,Grid!$A$5:$A$66,$A15),0)=0,"",_xlfn.MINIFS(Grid!$H$5:$H$66,Grid!$A$5:$A$66,$A15))</f>
        <v/>
      </c>
      <c r="H15" s="15" t="str">
        <f aca="false">IF(F15="","",F15/100)</f>
        <v/>
      </c>
    </row>
    <row r="16" customFormat="false" ht="15" hidden="false" customHeight="false" outlineLevel="0" collapsed="false">
      <c r="A16" s="16" t="s">
        <v>140</v>
      </c>
      <c r="B16" s="17" t="n">
        <f aca="false">IF(IFERROR(_xlfn.MINIFS(Grid!$C$5:$C$66,Grid!$A$5:$A$66,$A16),0)=0,"",_xlfn.MINIFS(Grid!$C$5:$C$66,Grid!$A$5:$A$66,$A16))</f>
        <v>25</v>
      </c>
      <c r="C16" s="17" t="n">
        <f aca="false">IF(IFERROR(_xlfn.MINIFS(Grid!$D$5:$D$66,Grid!$A$5:$A$66,$A16),0)=0,"",_xlfn.MINIFS(Grid!$D$5:$D$66,Grid!$A$5:$A$66,$A16))</f>
        <v>50</v>
      </c>
      <c r="D16" s="17" t="n">
        <f aca="false">IF(IFERROR(_xlfn.MINIFS(Grid!$E$5:$E$66,Grid!$A$5:$A$66,$A16),0)=0,"",_xlfn.MINIFS(Grid!$E$5:$E$66,Grid!$A$5:$A$66,$A16))</f>
        <v>300</v>
      </c>
      <c r="E16" s="17" t="n">
        <f aca="false">IF(IFERROR(_xlfn.MINIFS(Grid!$F$5:$F$66,Grid!$A$5:$A$66,$A16),0)=0,"",_xlfn.MINIFS(Grid!$F$5:$F$66,Grid!$A$5:$A$66,$A16))</f>
        <v>600</v>
      </c>
      <c r="F16" s="17" t="n">
        <f aca="false">IF(IFERROR(_xlfn.MINIFS(Grid!$G$5:$G$66,Grid!$A$5:$A$66,$A16),0)=0,"",_xlfn.MINIFS(Grid!$G$5:$G$66,Grid!$A$5:$A$66,$A16))</f>
        <v>1200</v>
      </c>
      <c r="G16" s="17" t="n">
        <f aca="false">IF(IFERROR(_xlfn.MINIFS(Grid!$H$5:$H$66,Grid!$A$5:$A$66,$A16),0)=0,"",_xlfn.MINIFS(Grid!$H$5:$H$66,Grid!$A$5:$A$66,$A16))</f>
        <v>3000</v>
      </c>
      <c r="H16" s="17" t="n">
        <f aca="false">IF(F16="","",F16/100)</f>
        <v>12</v>
      </c>
    </row>
    <row r="17" customFormat="false" ht="15" hidden="false" customHeight="false" outlineLevel="0" collapsed="false">
      <c r="A17" s="8" t="s">
        <v>147</v>
      </c>
      <c r="B17" s="15" t="n">
        <f aca="false">IF(IFERROR(_xlfn.MINIFS(Grid!$C$5:$C$66,Grid!$A$5:$A$66,$A17),0)=0,"",_xlfn.MINIFS(Grid!$C$5:$C$66,Grid!$A$5:$A$66,$A17))</f>
        <v>20</v>
      </c>
      <c r="C17" s="15" t="n">
        <f aca="false">IF(IFERROR(_xlfn.MINIFS(Grid!$D$5:$D$66,Grid!$A$5:$A$66,$A17),0)=0,"",_xlfn.MINIFS(Grid!$D$5:$D$66,Grid!$A$5:$A$66,$A17))</f>
        <v>40</v>
      </c>
      <c r="D17" s="15" t="n">
        <f aca="false">IF(IFERROR(_xlfn.MINIFS(Grid!$E$5:$E$66,Grid!$A$5:$A$66,$A17),0)=0,"",_xlfn.MINIFS(Grid!$E$5:$E$66,Grid!$A$5:$A$66,$A17))</f>
        <v>100</v>
      </c>
      <c r="E17" s="15" t="n">
        <f aca="false">IF(IFERROR(_xlfn.MINIFS(Grid!$F$5:$F$66,Grid!$A$5:$A$66,$A17),0)=0,"",_xlfn.MINIFS(Grid!$F$5:$F$66,Grid!$A$5:$A$66,$A17))</f>
        <v>200</v>
      </c>
      <c r="F17" s="15" t="n">
        <f aca="false">IF(IFERROR(_xlfn.MINIFS(Grid!$G$5:$G$66,Grid!$A$5:$A$66,$A17),0)=0,"",_xlfn.MINIFS(Grid!$G$5:$G$66,Grid!$A$5:$A$66,$A17))</f>
        <v>400</v>
      </c>
      <c r="G17" s="15" t="n">
        <f aca="false">IF(IFERROR(_xlfn.MINIFS(Grid!$H$5:$H$66,Grid!$A$5:$A$66,$A17),0)=0,"",_xlfn.MINIFS(Grid!$H$5:$H$66,Grid!$A$5:$A$66,$A17))</f>
        <v>1000</v>
      </c>
      <c r="H17" s="15" t="n">
        <f aca="false">IF(F17="","",F17/100)</f>
        <v>4</v>
      </c>
    </row>
    <row r="18" customFormat="false" ht="15" hidden="false" customHeight="false" outlineLevel="0" collapsed="false">
      <c r="A18" s="16" t="s">
        <v>152</v>
      </c>
      <c r="B18" s="17" t="n">
        <f aca="false">IF(IFERROR(_xlfn.MINIFS(Grid!$C$5:$C$66,Grid!$A$5:$A$66,$A18),0)=0,"",_xlfn.MINIFS(Grid!$C$5:$C$66,Grid!$A$5:$A$66,$A18))</f>
        <v>35</v>
      </c>
      <c r="C18" s="17" t="n">
        <f aca="false">IF(IFERROR(_xlfn.MINIFS(Grid!$D$5:$D$66,Grid!$A$5:$A$66,$A18),0)=0,"",_xlfn.MINIFS(Grid!$D$5:$D$66,Grid!$A$5:$A$66,$A18))</f>
        <v>70</v>
      </c>
      <c r="D18" s="17" t="n">
        <f aca="false">IF(IFERROR(_xlfn.MINIFS(Grid!$E$5:$E$66,Grid!$A$5:$A$66,$A18),0)=0,"",_xlfn.MINIFS(Grid!$E$5:$E$66,Grid!$A$5:$A$66,$A18))</f>
        <v>175</v>
      </c>
      <c r="E18" s="17" t="n">
        <f aca="false">IF(IFERROR(_xlfn.MINIFS(Grid!$F$5:$F$66,Grid!$A$5:$A$66,$A18),0)=0,"",_xlfn.MINIFS(Grid!$F$5:$F$66,Grid!$A$5:$A$66,$A18))</f>
        <v>350</v>
      </c>
      <c r="F18" s="17" t="n">
        <f aca="false">IF(IFERROR(_xlfn.MINIFS(Grid!$G$5:$G$66,Grid!$A$5:$A$66,$A18),0)=0,"",_xlfn.MINIFS(Grid!$G$5:$G$66,Grid!$A$5:$A$66,$A18))</f>
        <v>700</v>
      </c>
      <c r="G18" s="17" t="n">
        <f aca="false">IF(IFERROR(_xlfn.MINIFS(Grid!$H$5:$H$66,Grid!$A$5:$A$66,$A18),0)=0,"",_xlfn.MINIFS(Grid!$H$5:$H$66,Grid!$A$5:$A$66,$A18))</f>
        <v>1750</v>
      </c>
      <c r="H18" s="17" t="n">
        <f aca="false">IF(F18="","",F18/100)</f>
        <v>7</v>
      </c>
    </row>
    <row r="19" customFormat="false" ht="15" hidden="false" customHeight="false" outlineLevel="0" collapsed="false">
      <c r="A19" s="8" t="s">
        <v>159</v>
      </c>
      <c r="B19" s="15" t="n">
        <f aca="false">IF(IFERROR(_xlfn.MINIFS(Grid!$C$5:$C$66,Grid!$A$5:$A$66,$A19),0)=0,"",_xlfn.MINIFS(Grid!$C$5:$C$66,Grid!$A$5:$A$66,$A19))</f>
        <v>50</v>
      </c>
      <c r="C19" s="15" t="n">
        <f aca="false">IF(IFERROR(_xlfn.MINIFS(Grid!$D$5:$D$66,Grid!$A$5:$A$66,$A19),0)=0,"",_xlfn.MINIFS(Grid!$D$5:$D$66,Grid!$A$5:$A$66,$A19))</f>
        <v>100</v>
      </c>
      <c r="D19" s="15" t="n">
        <f aca="false">IF(IFERROR(_xlfn.MINIFS(Grid!$E$5:$E$66,Grid!$A$5:$A$66,$A19),0)=0,"",_xlfn.MINIFS(Grid!$E$5:$E$66,Grid!$A$5:$A$66,$A19))</f>
        <v>250</v>
      </c>
      <c r="E19" s="15" t="n">
        <f aca="false">IF(IFERROR(_xlfn.MINIFS(Grid!$F$5:$F$66,Grid!$A$5:$A$66,$A19),0)=0,"",_xlfn.MINIFS(Grid!$F$5:$F$66,Grid!$A$5:$A$66,$A19))</f>
        <v>500</v>
      </c>
      <c r="F19" s="15" t="n">
        <f aca="false">IF(IFERROR(_xlfn.MINIFS(Grid!$G$5:$G$66,Grid!$A$5:$A$66,$A19),0)=0,"",_xlfn.MINIFS(Grid!$G$5:$G$66,Grid!$A$5:$A$66,$A19))</f>
        <v>1000</v>
      </c>
      <c r="G19" s="15" t="n">
        <f aca="false">IF(IFERROR(_xlfn.MINIFS(Grid!$H$5:$H$66,Grid!$A$5:$A$66,$A19),0)=0,"",_xlfn.MINIFS(Grid!$H$5:$H$66,Grid!$A$5:$A$66,$A19))</f>
        <v>2500</v>
      </c>
      <c r="H19" s="15" t="n">
        <f aca="false">IF(F19="","",F19/100)</f>
        <v>10</v>
      </c>
    </row>
    <row r="21" customFormat="false" ht="15" hidden="false" customHeight="false" outlineLevel="0" collapsed="false">
      <c r="A21" s="7" t="s">
        <v>182</v>
      </c>
      <c r="B21" s="22" t="n">
        <f aca="false">IFERROR(MIN(B5:B19),"")</f>
        <v>20</v>
      </c>
      <c r="C21" s="22" t="n">
        <f aca="false">IFERROR(MIN(C5:C19),"")</f>
        <v>20.8333333333333</v>
      </c>
      <c r="D21" s="22" t="n">
        <f aca="false">IFERROR(MIN(D5:D19),"")</f>
        <v>49.1666666666667</v>
      </c>
      <c r="E21" s="22" t="n">
        <f aca="false">IFERROR(MIN(E5:E19),"")</f>
        <v>49.1666666666667</v>
      </c>
      <c r="F21" s="22" t="n">
        <f aca="false">IFERROR(MIN(F5:F19),"")</f>
        <v>49.1666666666667</v>
      </c>
      <c r="G21" s="22" t="n">
        <f aca="false">IFERROR(MIN(G5:G19),"")</f>
        <v>49.1666666666667</v>
      </c>
    </row>
    <row r="23" customFormat="false" ht="15" hidden="false" customHeight="false" outlineLevel="0" collapsed="false">
      <c r="A23" s="7" t="s">
        <v>183</v>
      </c>
      <c r="B23" s="7" t="n">
        <v>5</v>
      </c>
      <c r="C23" s="7" t="n">
        <v>10</v>
      </c>
      <c r="D23" s="7" t="n">
        <v>25</v>
      </c>
      <c r="E23" s="7" t="n">
        <v>50</v>
      </c>
      <c r="F23" s="7" t="n">
        <v>100</v>
      </c>
      <c r="G23" s="7" t="n">
        <v>250</v>
      </c>
    </row>
    <row r="24" customFormat="false" ht="15" hidden="false" customHeight="false" outlineLevel="0" collapsed="false">
      <c r="A24" s="8" t="s">
        <v>108</v>
      </c>
      <c r="B24" s="15" t="n">
        <f aca="false">IFERROR(INDEX($B$5:$B$19,MATCH($A24,$A$5:$A$19,0)),"")</f>
        <v>20.8333333333333</v>
      </c>
      <c r="C24" s="15" t="n">
        <f aca="false">IFERROR(INDEX($C$5:$C$19,MATCH($A24,$A$5:$A$19,0)),"")</f>
        <v>20.8333333333333</v>
      </c>
      <c r="D24" s="15" t="n">
        <f aca="false">IFERROR(INDEX($D$5:$D$19,MATCH($A24,$A$5:$A$19,0)),"")</f>
        <v>49.1666666666667</v>
      </c>
      <c r="E24" s="15" t="n">
        <f aca="false">IFERROR(INDEX($E$5:$E$19,MATCH($A24,$A$5:$A$19,0)),"")</f>
        <v>49.1666666666667</v>
      </c>
      <c r="F24" s="15" t="n">
        <f aca="false">IFERROR(INDEX($F$5:$F$19,MATCH($A24,$A$5:$A$19,0)),"")</f>
        <v>49.1666666666667</v>
      </c>
      <c r="G24" s="15" t="n">
        <f aca="false">IFERROR(INDEX($G$5:$G$19,MATCH($A24,$A$5:$A$19,0)),"")</f>
        <v>49.1666666666667</v>
      </c>
    </row>
    <row r="25" customFormat="false" ht="15" hidden="false" customHeight="false" outlineLevel="0" collapsed="false">
      <c r="A25" s="8" t="s">
        <v>147</v>
      </c>
      <c r="B25" s="15" t="n">
        <f aca="false">IFERROR(INDEX($B$5:$B$19,MATCH($A25,$A$5:$A$19,0)),"")</f>
        <v>20</v>
      </c>
      <c r="C25" s="15" t="n">
        <f aca="false">IFERROR(INDEX($C$5:$C$19,MATCH($A25,$A$5:$A$19,0)),"")</f>
        <v>40</v>
      </c>
      <c r="D25" s="15" t="n">
        <f aca="false">IFERROR(INDEX($D$5:$D$19,MATCH($A25,$A$5:$A$19,0)),"")</f>
        <v>100</v>
      </c>
      <c r="E25" s="15" t="n">
        <f aca="false">IFERROR(INDEX($E$5:$E$19,MATCH($A25,$A$5:$A$19,0)),"")</f>
        <v>200</v>
      </c>
      <c r="F25" s="15" t="n">
        <f aca="false">IFERROR(INDEX($F$5:$F$19,MATCH($A25,$A$5:$A$19,0)),"")</f>
        <v>400</v>
      </c>
      <c r="G25" s="15" t="n">
        <f aca="false">IFERROR(INDEX($G$5:$G$19,MATCH($A25,$A$5:$A$19,0)),"")</f>
        <v>1000</v>
      </c>
    </row>
    <row r="26" customFormat="false" ht="15" hidden="false" customHeight="false" outlineLevel="0" collapsed="false">
      <c r="A26" s="8" t="s">
        <v>86</v>
      </c>
      <c r="B26" s="15" t="n">
        <f aca="false">IFERROR(INDEX($B$5:$B$19,MATCH($A26,$A$5:$A$19,0)),"")</f>
        <v>25</v>
      </c>
      <c r="C26" s="15" t="n">
        <f aca="false">IFERROR(INDEX($C$5:$C$19,MATCH($A26,$A$5:$A$19,0)),"")</f>
        <v>50</v>
      </c>
      <c r="D26" s="15" t="n">
        <f aca="false">IFERROR(INDEX($D$5:$D$19,MATCH($A26,$A$5:$A$19,0)),"")</f>
        <v>125</v>
      </c>
      <c r="E26" s="15" t="n">
        <f aca="false">IFERROR(INDEX($E$5:$E$19,MATCH($A26,$A$5:$A$19,0)),"")</f>
        <v>250</v>
      </c>
      <c r="F26" s="15" t="n">
        <f aca="false">IFERROR(INDEX($F$5:$F$19,MATCH($A26,$A$5:$A$19,0)),"")</f>
        <v>500</v>
      </c>
      <c r="G26" s="15" t="n">
        <f aca="false">IFERROR(INDEX($G$5:$G$19,MATCH($A26,$A$5:$A$19,0)),"")</f>
        <v>1250</v>
      </c>
    </row>
    <row r="27" customFormat="false" ht="15" hidden="false" customHeight="false" outlineLevel="0" collapsed="false">
      <c r="A27" s="8" t="s">
        <v>79</v>
      </c>
      <c r="B27" s="15" t="n">
        <f aca="false">IFERROR(INDEX($B$5:$B$19,MATCH($A27,$A$5:$A$19,0)),"")</f>
        <v>35</v>
      </c>
      <c r="C27" s="15" t="n">
        <f aca="false">IFERROR(INDEX($C$5:$C$19,MATCH($A27,$A$5:$A$19,0)),"")</f>
        <v>70</v>
      </c>
      <c r="D27" s="15" t="n">
        <f aca="false">IFERROR(INDEX($D$5:$D$19,MATCH($A27,$A$5:$A$19,0)),"")</f>
        <v>175</v>
      </c>
      <c r="E27" s="15" t="n">
        <f aca="false">IFERROR(INDEX($E$5:$E$19,MATCH($A27,$A$5:$A$19,0)),"")</f>
        <v>350</v>
      </c>
      <c r="F27" s="15" t="n">
        <f aca="false">IFERROR(INDEX($F$5:$F$19,MATCH($A27,$A$5:$A$19,0)),"")</f>
        <v>700</v>
      </c>
      <c r="G27" s="15" t="n">
        <f aca="false">IFERROR(INDEX($G$5:$G$19,MATCH($A27,$A$5:$A$19,0)),"")</f>
        <v>1750</v>
      </c>
    </row>
    <row r="28" customFormat="false" ht="15" hidden="false" customHeight="false" outlineLevel="0" collapsed="false">
      <c r="A28" s="8" t="s">
        <v>103</v>
      </c>
      <c r="B28" s="15" t="n">
        <f aca="false">IFERROR(INDEX($B$5:$B$19,MATCH($A28,$A$5:$A$19,0)),"")</f>
        <v>37.5</v>
      </c>
      <c r="C28" s="15" t="n">
        <f aca="false">IFERROR(INDEX($C$5:$C$19,MATCH($A28,$A$5:$A$19,0)),"")</f>
        <v>75</v>
      </c>
      <c r="D28" s="15" t="n">
        <f aca="false">IFERROR(INDEX($D$5:$D$19,MATCH($A28,$A$5:$A$19,0)),"")</f>
        <v>187.5</v>
      </c>
      <c r="E28" s="15" t="n">
        <f aca="false">IFERROR(INDEX($E$5:$E$19,MATCH($A28,$A$5:$A$19,0)),"")</f>
        <v>375</v>
      </c>
      <c r="F28" s="15" t="n">
        <f aca="false">IFERROR(INDEX($F$5:$F$19,MATCH($A28,$A$5:$A$19,0)),"")</f>
        <v>750</v>
      </c>
      <c r="G28" s="15" t="n">
        <f aca="false">IFERROR(INDEX($G$5:$G$19,MATCH($A28,$A$5:$A$19,0)),"")</f>
        <v>1875</v>
      </c>
    </row>
    <row r="29" customFormat="false" ht="15" hidden="false" customHeight="false" outlineLevel="0" collapsed="false">
      <c r="A29" s="8" t="s">
        <v>91</v>
      </c>
      <c r="B29" s="15" t="n">
        <f aca="false">IFERROR(INDEX($B$5:$B$19,MATCH($A29,$A$5:$A$19,0)),"")</f>
        <v>54.95</v>
      </c>
      <c r="C29" s="15" t="n">
        <f aca="false">IFERROR(INDEX($C$5:$C$19,MATCH($A29,$A$5:$A$19,0)),"")</f>
        <v>109.9</v>
      </c>
      <c r="D29" s="15" t="n">
        <f aca="false">IFERROR(INDEX($D$5:$D$19,MATCH($A29,$A$5:$A$19,0)),"")</f>
        <v>274.75</v>
      </c>
      <c r="E29" s="15" t="n">
        <f aca="false">IFERROR(INDEX($E$5:$E$19,MATCH($A29,$A$5:$A$19,0)),"")</f>
        <v>549.5</v>
      </c>
      <c r="F29" s="15" t="n">
        <f aca="false">IFERROR(INDEX($F$5:$F$19,MATCH($A29,$A$5:$A$19,0)),"")</f>
        <v>1099</v>
      </c>
      <c r="G29" s="15" t="n">
        <f aca="false">IFERROR(INDEX($G$5:$G$19,MATCH($A29,$A$5:$A$19,0)),"")</f>
        <v>2747.5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10"/>
    <col collapsed="false" customWidth="true" hidden="false" outlineLevel="0" max="4" min="4" style="0" width="14"/>
    <col collapsed="false" customWidth="true" hidden="false" outlineLevel="0" max="5" min="5" style="0" width="15"/>
    <col collapsed="false" customWidth="true" hidden="false" outlineLevel="0" max="6" min="6" style="0" width="40"/>
    <col collapsed="false" customWidth="true" hidden="false" outlineLevel="0" max="7" min="7" style="0" width="11"/>
  </cols>
  <sheetData>
    <row r="1" customFormat="false" ht="17.35" hidden="false" customHeight="false" outlineLevel="0" collapsed="false">
      <c r="A1" s="5" t="s">
        <v>184</v>
      </c>
    </row>
    <row r="2" customFormat="false" ht="15" hidden="false" customHeight="false" outlineLevel="0" collapsed="false">
      <c r="A2" s="6" t="s">
        <v>185</v>
      </c>
    </row>
    <row r="4" customFormat="false" ht="15" hidden="false" customHeight="false" outlineLevel="0" collapsed="false">
      <c r="A4" s="14" t="s">
        <v>39</v>
      </c>
      <c r="B4" s="14" t="s">
        <v>40</v>
      </c>
      <c r="C4" s="14" t="s">
        <v>186</v>
      </c>
      <c r="D4" s="14" t="s">
        <v>187</v>
      </c>
      <c r="E4" s="14" t="s">
        <v>188</v>
      </c>
      <c r="F4" s="14" t="s">
        <v>55</v>
      </c>
      <c r="G4" s="14" t="s">
        <v>56</v>
      </c>
    </row>
    <row r="5" customFormat="false" ht="15" hidden="false" customHeight="false" outlineLevel="0" collapsed="false">
      <c r="A5" s="8" t="s">
        <v>86</v>
      </c>
      <c r="B5" s="8" t="s">
        <v>68</v>
      </c>
      <c r="C5" s="8" t="n">
        <v>50</v>
      </c>
      <c r="D5" s="15" t="n">
        <v>17.5</v>
      </c>
      <c r="E5" s="15" t="n">
        <v>210</v>
      </c>
      <c r="F5" s="8" t="s">
        <v>189</v>
      </c>
      <c r="G5" s="8" t="s">
        <v>65</v>
      </c>
    </row>
    <row r="6" customFormat="false" ht="15" hidden="false" customHeight="false" outlineLevel="0" collapsed="false">
      <c r="A6" s="8" t="s">
        <v>86</v>
      </c>
      <c r="B6" s="8" t="s">
        <v>68</v>
      </c>
      <c r="C6" s="8" t="n">
        <v>389</v>
      </c>
      <c r="D6" s="15" t="n">
        <v>16.61</v>
      </c>
      <c r="E6" s="15" t="n">
        <v>199.28</v>
      </c>
      <c r="F6" s="8" t="s">
        <v>189</v>
      </c>
      <c r="G6" s="8" t="s">
        <v>65</v>
      </c>
    </row>
    <row r="7" customFormat="false" ht="15" hidden="false" customHeight="false" outlineLevel="0" collapsed="false">
      <c r="A7" s="8" t="s">
        <v>86</v>
      </c>
      <c r="B7" s="8" t="s">
        <v>68</v>
      </c>
      <c r="C7" s="8" t="n">
        <v>1066</v>
      </c>
      <c r="D7" s="15" t="n">
        <v>12.78</v>
      </c>
      <c r="E7" s="15" t="n">
        <v>153.32</v>
      </c>
      <c r="F7" s="8" t="s">
        <v>189</v>
      </c>
      <c r="G7" s="8" t="s">
        <v>65</v>
      </c>
    </row>
    <row r="8" customFormat="false" ht="15" hidden="false" customHeight="false" outlineLevel="0" collapsed="false">
      <c r="A8" s="8" t="s">
        <v>86</v>
      </c>
      <c r="B8" s="8" t="s">
        <v>68</v>
      </c>
      <c r="C8" s="8" t="n">
        <v>4405</v>
      </c>
      <c r="D8" s="15" t="n">
        <v>7.7</v>
      </c>
      <c r="E8" s="15" t="n">
        <v>92.35</v>
      </c>
      <c r="F8" s="8" t="s">
        <v>189</v>
      </c>
      <c r="G8" s="8" t="s">
        <v>65</v>
      </c>
    </row>
    <row r="9" customFormat="false" ht="15" hidden="false" customHeight="false" outlineLevel="0" collapsed="false">
      <c r="A9" s="8" t="s">
        <v>103</v>
      </c>
      <c r="B9" s="8" t="s">
        <v>77</v>
      </c>
      <c r="C9" s="8" t="n">
        <v>10</v>
      </c>
      <c r="D9" s="15"/>
      <c r="E9" s="15" t="n">
        <v>9.05</v>
      </c>
      <c r="F9" s="8" t="s">
        <v>190</v>
      </c>
      <c r="G9" s="8" t="s">
        <v>65</v>
      </c>
    </row>
    <row r="10" customFormat="false" ht="15" hidden="false" customHeight="false" outlineLevel="0" collapsed="false">
      <c r="A10" s="8" t="s">
        <v>103</v>
      </c>
      <c r="B10" s="8" t="s">
        <v>77</v>
      </c>
      <c r="C10" s="8" t="n">
        <v>100</v>
      </c>
      <c r="D10" s="15"/>
      <c r="E10" s="15" t="n">
        <v>9.05</v>
      </c>
      <c r="F10" s="8" t="s">
        <v>190</v>
      </c>
      <c r="G10" s="8" t="s">
        <v>65</v>
      </c>
    </row>
    <row r="11" customFormat="false" ht="15" hidden="false" customHeight="false" outlineLevel="0" collapsed="false">
      <c r="A11" s="8" t="s">
        <v>103</v>
      </c>
      <c r="B11" s="8" t="s">
        <v>77</v>
      </c>
      <c r="C11" s="8" t="n">
        <v>500</v>
      </c>
      <c r="D11" s="15"/>
      <c r="E11" s="15" t="n">
        <v>7.31</v>
      </c>
      <c r="F11" s="8" t="s">
        <v>190</v>
      </c>
      <c r="G11" s="8" t="s">
        <v>65</v>
      </c>
    </row>
    <row r="12" customFormat="false" ht="15" hidden="false" customHeight="false" outlineLevel="0" collapsed="false">
      <c r="A12" s="8" t="s">
        <v>103</v>
      </c>
      <c r="B12" s="8" t="s">
        <v>89</v>
      </c>
      <c r="C12" s="8" t="n">
        <v>10</v>
      </c>
      <c r="D12" s="15"/>
      <c r="E12" s="15" t="n">
        <v>18.3</v>
      </c>
      <c r="F12" s="8" t="s">
        <v>190</v>
      </c>
      <c r="G12" s="8" t="s">
        <v>65</v>
      </c>
    </row>
    <row r="13" customFormat="false" ht="15" hidden="false" customHeight="false" outlineLevel="0" collapsed="false">
      <c r="A13" s="8" t="s">
        <v>103</v>
      </c>
      <c r="B13" s="8" t="s">
        <v>89</v>
      </c>
      <c r="C13" s="8" t="n">
        <v>100</v>
      </c>
      <c r="D13" s="15"/>
      <c r="E13" s="15" t="n">
        <v>18.3</v>
      </c>
      <c r="F13" s="8" t="s">
        <v>190</v>
      </c>
      <c r="G13" s="8" t="s">
        <v>65</v>
      </c>
    </row>
    <row r="14" customFormat="false" ht="15" hidden="false" customHeight="false" outlineLevel="0" collapsed="false">
      <c r="A14" s="8" t="s">
        <v>103</v>
      </c>
      <c r="B14" s="8" t="s">
        <v>89</v>
      </c>
      <c r="C14" s="8" t="n">
        <v>500</v>
      </c>
      <c r="D14" s="15"/>
      <c r="E14" s="15" t="n">
        <v>12.55</v>
      </c>
      <c r="F14" s="8" t="s">
        <v>190</v>
      </c>
      <c r="G14" s="8"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4"/>
    <col collapsed="false" customWidth="true" hidden="false" outlineLevel="0" max="4" min="4" style="0" width="10"/>
    <col collapsed="false" customWidth="true" hidden="false" outlineLevel="0" max="5" min="5" style="0" width="20"/>
    <col collapsed="false" customWidth="true" hidden="false" outlineLevel="0" max="6" min="6" style="0" width="46"/>
    <col collapsed="false" customWidth="true" hidden="false" outlineLevel="0" max="7" min="7" style="0" width="11"/>
  </cols>
  <sheetData>
    <row r="1" customFormat="false" ht="17.35" hidden="false" customHeight="false" outlineLevel="0" collapsed="false">
      <c r="A1" s="5" t="s">
        <v>191</v>
      </c>
    </row>
    <row r="2" customFormat="false" ht="15" hidden="false" customHeight="false" outlineLevel="0" collapsed="false">
      <c r="A2" s="6" t="s">
        <v>192</v>
      </c>
    </row>
    <row r="4" customFormat="false" ht="15" hidden="false" customHeight="false" outlineLevel="0" collapsed="false">
      <c r="A4" s="14" t="s">
        <v>39</v>
      </c>
      <c r="B4" s="14" t="s">
        <v>40</v>
      </c>
      <c r="C4" s="14" t="s">
        <v>193</v>
      </c>
      <c r="D4" s="14" t="s">
        <v>194</v>
      </c>
      <c r="E4" s="14" t="s">
        <v>195</v>
      </c>
      <c r="F4" s="14" t="s">
        <v>54</v>
      </c>
      <c r="G4" s="14" t="s">
        <v>56</v>
      </c>
    </row>
    <row r="5" customFormat="false" ht="15" hidden="false" customHeight="false" outlineLevel="0" collapsed="false">
      <c r="A5" s="8" t="s">
        <v>140</v>
      </c>
      <c r="B5" s="8" t="s">
        <v>94</v>
      </c>
      <c r="C5" s="8" t="s">
        <v>196</v>
      </c>
      <c r="D5" s="15" t="n">
        <v>5</v>
      </c>
      <c r="E5" s="8" t="s">
        <v>197</v>
      </c>
      <c r="F5" s="8" t="s">
        <v>198</v>
      </c>
      <c r="G5" s="8" t="s">
        <v>65</v>
      </c>
    </row>
    <row r="6" customFormat="false" ht="15" hidden="false" customHeight="false" outlineLevel="0" collapsed="false">
      <c r="A6" s="8" t="s">
        <v>140</v>
      </c>
      <c r="B6" s="8" t="s">
        <v>144</v>
      </c>
      <c r="C6" s="8" t="s">
        <v>196</v>
      </c>
      <c r="D6" s="15" t="n">
        <v>5</v>
      </c>
      <c r="E6" s="8" t="s">
        <v>197</v>
      </c>
      <c r="F6" s="8" t="s">
        <v>198</v>
      </c>
      <c r="G6" s="8" t="s">
        <v>65</v>
      </c>
    </row>
    <row r="7" customFormat="false" ht="15" hidden="false" customHeight="false" outlineLevel="0" collapsed="false">
      <c r="A7" s="8" t="s">
        <v>57</v>
      </c>
      <c r="B7" s="8" t="s">
        <v>68</v>
      </c>
      <c r="C7" s="8" t="s">
        <v>199</v>
      </c>
      <c r="D7" s="15"/>
      <c r="E7" s="8"/>
      <c r="F7" s="8" t="s">
        <v>200</v>
      </c>
      <c r="G7" s="8"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1"/>
    <col collapsed="false" customWidth="true" hidden="false" outlineLevel="0" max="4" min="4" style="0" width="12"/>
    <col collapsed="false" customWidth="true" hidden="false" outlineLevel="0" max="5" min="5" style="0" width="16"/>
    <col collapsed="false" customWidth="true" hidden="false" outlineLevel="0" max="6" min="6" style="0" width="10"/>
    <col collapsed="false" customWidth="true" hidden="false" outlineLevel="0" max="8" min="7" style="0" width="18"/>
    <col collapsed="false" customWidth="true" hidden="false" outlineLevel="0" max="9" min="9" style="0" width="11"/>
    <col collapsed="false" customWidth="true" hidden="false" outlineLevel="0" max="10" min="10" style="0" width="44"/>
    <col collapsed="false" customWidth="true" hidden="false" outlineLevel="0" max="11" min="11" style="0" width="11"/>
  </cols>
  <sheetData>
    <row r="1" customFormat="false" ht="17.35" hidden="false" customHeight="false" outlineLevel="0" collapsed="false">
      <c r="A1" s="5" t="s">
        <v>201</v>
      </c>
    </row>
    <row r="2" customFormat="false" ht="15" hidden="false" customHeight="false" outlineLevel="0" collapsed="false">
      <c r="A2" s="6" t="s">
        <v>202</v>
      </c>
    </row>
    <row r="4" customFormat="false" ht="23.85" hidden="false" customHeight="false" outlineLevel="0" collapsed="false">
      <c r="A4" s="14" t="s">
        <v>39</v>
      </c>
      <c r="B4" s="14" t="s">
        <v>203</v>
      </c>
      <c r="C4" s="14" t="s">
        <v>204</v>
      </c>
      <c r="D4" s="14" t="s">
        <v>205</v>
      </c>
      <c r="E4" s="14" t="s">
        <v>206</v>
      </c>
      <c r="F4" s="14" t="s">
        <v>207</v>
      </c>
      <c r="G4" s="14" t="s">
        <v>208</v>
      </c>
      <c r="H4" s="14" t="s">
        <v>209</v>
      </c>
      <c r="I4" s="14" t="s">
        <v>210</v>
      </c>
      <c r="J4" s="14" t="s">
        <v>55</v>
      </c>
      <c r="K4" s="14" t="s">
        <v>56</v>
      </c>
    </row>
    <row r="5" customFormat="false" ht="15" hidden="false" customHeight="false" outlineLevel="0" collapsed="false">
      <c r="A5" s="8" t="s">
        <v>211</v>
      </c>
      <c r="B5" s="8" t="n">
        <v>10</v>
      </c>
      <c r="C5" s="8" t="n">
        <v>3</v>
      </c>
      <c r="D5" s="8" t="n">
        <v>2</v>
      </c>
      <c r="E5" s="8" t="n">
        <v>1</v>
      </c>
      <c r="F5" s="8" t="s">
        <v>62</v>
      </c>
      <c r="G5" s="8" t="s">
        <v>212</v>
      </c>
      <c r="H5" s="8" t="s">
        <v>213</v>
      </c>
      <c r="I5" s="8" t="s">
        <v>32</v>
      </c>
      <c r="J5" s="8" t="s">
        <v>214</v>
      </c>
      <c r="K5" s="8" t="s">
        <v>65</v>
      </c>
    </row>
    <row r="6" customFormat="false" ht="15" hidden="false" customHeight="false" outlineLevel="0" collapsed="false">
      <c r="A6" s="8" t="s">
        <v>215</v>
      </c>
      <c r="B6" s="8" t="n">
        <v>13</v>
      </c>
      <c r="C6" s="8" t="n">
        <v>2</v>
      </c>
      <c r="D6" s="8" t="n">
        <v>1</v>
      </c>
      <c r="E6" s="8" t="n">
        <v>1</v>
      </c>
      <c r="F6" s="8" t="s">
        <v>32</v>
      </c>
      <c r="G6" s="8" t="s">
        <v>212</v>
      </c>
      <c r="H6" s="8" t="s">
        <v>213</v>
      </c>
      <c r="I6" s="8" t="s">
        <v>32</v>
      </c>
      <c r="J6" s="8" t="s">
        <v>216</v>
      </c>
      <c r="K6" s="8" t="s">
        <v>65</v>
      </c>
    </row>
    <row r="7" customFormat="false" ht="15" hidden="false" customHeight="false" outlineLevel="0" collapsed="false">
      <c r="A7" s="8" t="s">
        <v>217</v>
      </c>
      <c r="B7" s="8" t="n">
        <v>17</v>
      </c>
      <c r="C7" s="8" t="n">
        <v>3</v>
      </c>
      <c r="D7" s="8" t="n">
        <v>0</v>
      </c>
      <c r="E7" s="8" t="n">
        <v>3</v>
      </c>
      <c r="F7" s="8" t="s">
        <v>32</v>
      </c>
      <c r="G7" s="8" t="s">
        <v>218</v>
      </c>
      <c r="H7" s="8" t="s">
        <v>219</v>
      </c>
      <c r="I7" s="8" t="s">
        <v>62</v>
      </c>
      <c r="J7" s="8" t="s">
        <v>220</v>
      </c>
      <c r="K7" s="8" t="s">
        <v>65</v>
      </c>
    </row>
    <row r="8" customFormat="false" ht="15" hidden="false" customHeight="false" outlineLevel="0" collapsed="false">
      <c r="A8" s="8" t="s">
        <v>221</v>
      </c>
      <c r="B8" s="8" t="n">
        <v>20</v>
      </c>
      <c r="C8" s="8" t="n">
        <v>2</v>
      </c>
      <c r="D8" s="8" t="n">
        <v>2</v>
      </c>
      <c r="E8" s="8" t="n">
        <v>0</v>
      </c>
      <c r="F8" s="8" t="s">
        <v>62</v>
      </c>
      <c r="G8" s="8" t="s">
        <v>60</v>
      </c>
      <c r="H8" s="8" t="s">
        <v>219</v>
      </c>
      <c r="I8" s="8" t="s">
        <v>32</v>
      </c>
      <c r="J8" s="8" t="s">
        <v>222</v>
      </c>
      <c r="K8" s="8" t="s">
        <v>65</v>
      </c>
    </row>
    <row r="9" customFormat="false" ht="15" hidden="false" customHeight="false" outlineLevel="0" collapsed="false">
      <c r="A9" s="8" t="s">
        <v>223</v>
      </c>
      <c r="B9" s="8" t="n">
        <v>25</v>
      </c>
      <c r="C9" s="8" t="n">
        <v>5</v>
      </c>
      <c r="D9" s="8" t="n">
        <v>4</v>
      </c>
      <c r="E9" s="8" t="n">
        <v>1</v>
      </c>
      <c r="F9" s="8" t="s">
        <v>32</v>
      </c>
      <c r="G9" s="8" t="s">
        <v>212</v>
      </c>
      <c r="H9" s="8" t="s">
        <v>213</v>
      </c>
      <c r="I9" s="8" t="s">
        <v>62</v>
      </c>
      <c r="J9" s="8" t="s">
        <v>224</v>
      </c>
      <c r="K9" s="8" t="s">
        <v>65</v>
      </c>
    </row>
    <row r="10" customFormat="false" ht="15" hidden="false" customHeight="false" outlineLevel="0" collapsed="false">
      <c r="A10" s="8" t="s">
        <v>225</v>
      </c>
      <c r="B10" s="8" t="n">
        <v>26</v>
      </c>
      <c r="C10" s="8" t="n">
        <v>4</v>
      </c>
      <c r="D10" s="8" t="n">
        <v>4</v>
      </c>
      <c r="E10" s="8" t="n">
        <v>0</v>
      </c>
      <c r="F10" s="8" t="s">
        <v>62</v>
      </c>
      <c r="G10" s="8" t="s">
        <v>60</v>
      </c>
      <c r="H10" s="8" t="s">
        <v>213</v>
      </c>
      <c r="I10" s="8" t="s">
        <v>62</v>
      </c>
      <c r="J10" s="8" t="s">
        <v>226</v>
      </c>
      <c r="K10" s="8" t="s">
        <v>65</v>
      </c>
    </row>
    <row r="11" customFormat="false" ht="15" hidden="false" customHeight="false" outlineLevel="0" collapsed="false">
      <c r="A11" s="8" t="s">
        <v>227</v>
      </c>
      <c r="B11" s="8" t="n">
        <v>29</v>
      </c>
      <c r="C11" s="8" t="n">
        <v>3</v>
      </c>
      <c r="D11" s="8" t="n">
        <v>3</v>
      </c>
      <c r="E11" s="8" t="n">
        <v>0</v>
      </c>
      <c r="F11" s="8" t="s">
        <v>32</v>
      </c>
      <c r="G11" s="8" t="s">
        <v>60</v>
      </c>
      <c r="H11" s="8" t="s">
        <v>213</v>
      </c>
      <c r="I11" s="8" t="s">
        <v>62</v>
      </c>
      <c r="J11" s="8" t="s">
        <v>228</v>
      </c>
      <c r="K11" s="8" t="s">
        <v>65</v>
      </c>
    </row>
    <row r="12" customFormat="false" ht="15" hidden="false" customHeight="false" outlineLevel="0" collapsed="false">
      <c r="A12" s="8" t="s">
        <v>229</v>
      </c>
      <c r="B12" s="8" t="n">
        <v>37</v>
      </c>
      <c r="C12" s="8" t="n">
        <v>2</v>
      </c>
      <c r="D12" s="8" t="n">
        <v>2</v>
      </c>
      <c r="E12" s="8" t="n">
        <v>0</v>
      </c>
      <c r="F12" s="8" t="s">
        <v>62</v>
      </c>
      <c r="G12" s="8" t="s">
        <v>60</v>
      </c>
      <c r="H12" s="8" t="s">
        <v>213</v>
      </c>
      <c r="I12" s="8" t="s">
        <v>62</v>
      </c>
      <c r="J12" s="8" t="s">
        <v>230</v>
      </c>
      <c r="K12" s="8" t="s">
        <v>65</v>
      </c>
    </row>
    <row r="13" customFormat="false" ht="15" hidden="false" customHeight="false" outlineLevel="0" collapsed="false">
      <c r="A13" s="8" t="s">
        <v>231</v>
      </c>
      <c r="B13" s="8" t="n">
        <v>46</v>
      </c>
      <c r="C13" s="8" t="n">
        <v>3</v>
      </c>
      <c r="D13" s="8" t="n">
        <v>2</v>
      </c>
      <c r="E13" s="8" t="n">
        <v>1</v>
      </c>
      <c r="F13" s="8" t="s">
        <v>62</v>
      </c>
      <c r="G13" s="8" t="s">
        <v>212</v>
      </c>
      <c r="H13" s="8" t="s">
        <v>213</v>
      </c>
      <c r="I13" s="8" t="s">
        <v>62</v>
      </c>
      <c r="J13" s="8" t="s">
        <v>232</v>
      </c>
      <c r="K13" s="8" t="s">
        <v>65</v>
      </c>
    </row>
    <row r="14" customFormat="false" ht="15" hidden="false" customHeight="false" outlineLevel="0" collapsed="false">
      <c r="A14" s="8" t="s">
        <v>233</v>
      </c>
      <c r="B14" s="8" t="n">
        <v>33</v>
      </c>
      <c r="C14" s="8" t="n">
        <v>3</v>
      </c>
      <c r="D14" s="8" t="n">
        <v>3</v>
      </c>
      <c r="E14" s="8" t="n">
        <v>0</v>
      </c>
      <c r="F14" s="8" t="s">
        <v>62</v>
      </c>
      <c r="G14" s="8" t="s">
        <v>60</v>
      </c>
      <c r="H14" s="8" t="s">
        <v>213</v>
      </c>
      <c r="I14" s="8" t="s">
        <v>62</v>
      </c>
      <c r="J14" s="8" t="s">
        <v>234</v>
      </c>
      <c r="K14" s="8" t="s">
        <v>65</v>
      </c>
    </row>
    <row r="15" customFormat="false" ht="15" hidden="false" customHeight="false" outlineLevel="0" collapsed="false">
      <c r="A15" s="8" t="s">
        <v>235</v>
      </c>
      <c r="B15" s="8" t="n">
        <v>27</v>
      </c>
      <c r="C15" s="8" t="n">
        <v>4</v>
      </c>
      <c r="D15" s="8" t="n">
        <v>3</v>
      </c>
      <c r="E15" s="8" t="n">
        <v>1</v>
      </c>
      <c r="F15" s="8" t="s">
        <v>62</v>
      </c>
      <c r="G15" s="8" t="s">
        <v>212</v>
      </c>
      <c r="H15" s="8" t="s">
        <v>213</v>
      </c>
      <c r="I15" s="8" t="s">
        <v>62</v>
      </c>
      <c r="J15" s="8" t="s">
        <v>236</v>
      </c>
      <c r="K15" s="8" t="s">
        <v>65</v>
      </c>
    </row>
    <row r="16" customFormat="false" ht="15" hidden="false" customHeight="false" outlineLevel="0" collapsed="false">
      <c r="A16" s="8" t="s">
        <v>237</v>
      </c>
      <c r="B16" s="8" t="n">
        <v>34</v>
      </c>
      <c r="C16" s="8" t="n">
        <v>3</v>
      </c>
      <c r="D16" s="8" t="n">
        <v>3</v>
      </c>
      <c r="E16" s="8" t="n">
        <v>0</v>
      </c>
      <c r="F16" s="8" t="s">
        <v>62</v>
      </c>
      <c r="G16" s="8" t="s">
        <v>60</v>
      </c>
      <c r="H16" s="8" t="s">
        <v>213</v>
      </c>
      <c r="I16" s="8" t="s">
        <v>62</v>
      </c>
      <c r="J16" s="8" t="s">
        <v>238</v>
      </c>
      <c r="K16" s="8" t="s">
        <v>65</v>
      </c>
    </row>
    <row r="17" customFormat="false" ht="15" hidden="false" customHeight="false" outlineLevel="0" collapsed="false">
      <c r="A17" s="8" t="s">
        <v>239</v>
      </c>
      <c r="B17" s="8" t="n">
        <v>49</v>
      </c>
      <c r="C17" s="8" t="n">
        <v>4</v>
      </c>
      <c r="D17" s="8" t="n">
        <v>3</v>
      </c>
      <c r="E17" s="8" t="n">
        <v>1</v>
      </c>
      <c r="F17" s="8" t="s">
        <v>62</v>
      </c>
      <c r="G17" s="8" t="s">
        <v>212</v>
      </c>
      <c r="H17" s="8" t="s">
        <v>213</v>
      </c>
      <c r="I17" s="8" t="s">
        <v>62</v>
      </c>
      <c r="J17" s="8" t="s">
        <v>240</v>
      </c>
      <c r="K17" s="8" t="s">
        <v>65</v>
      </c>
    </row>
    <row r="18" customFormat="false" ht="15" hidden="false" customHeight="false" outlineLevel="0" collapsed="false">
      <c r="A18" s="8" t="s">
        <v>241</v>
      </c>
      <c r="B18" s="8" t="n">
        <v>41</v>
      </c>
      <c r="C18" s="8" t="n">
        <v>3</v>
      </c>
      <c r="D18" s="8" t="n">
        <v>2</v>
      </c>
      <c r="E18" s="8" t="n">
        <v>1</v>
      </c>
      <c r="F18" s="8" t="s">
        <v>32</v>
      </c>
      <c r="G18" s="8" t="s">
        <v>212</v>
      </c>
      <c r="H18" s="8" t="s">
        <v>213</v>
      </c>
      <c r="I18" s="8" t="s">
        <v>62</v>
      </c>
      <c r="J18" s="8" t="s">
        <v>242</v>
      </c>
      <c r="K18" s="8" t="s">
        <v>65</v>
      </c>
    </row>
    <row r="19" customFormat="false" ht="15" hidden="false" customHeight="false" outlineLevel="0" collapsed="false">
      <c r="A19" s="8" t="s">
        <v>243</v>
      </c>
      <c r="B19" s="8" t="n">
        <v>42</v>
      </c>
      <c r="C19" s="8" t="n">
        <v>3</v>
      </c>
      <c r="D19" s="8" t="n">
        <v>2</v>
      </c>
      <c r="E19" s="8" t="n">
        <v>1</v>
      </c>
      <c r="F19" s="8" t="s">
        <v>32</v>
      </c>
      <c r="G19" s="8" t="s">
        <v>212</v>
      </c>
      <c r="H19" s="8" t="s">
        <v>213</v>
      </c>
      <c r="I19" s="8" t="s">
        <v>62</v>
      </c>
      <c r="J19" s="8" t="s">
        <v>244</v>
      </c>
      <c r="K19" s="8" t="s">
        <v>65</v>
      </c>
    </row>
    <row r="20" customFormat="false" ht="15" hidden="false" customHeight="false" outlineLevel="0" collapsed="false">
      <c r="A20" s="8" t="s">
        <v>245</v>
      </c>
      <c r="B20" s="8" t="n">
        <v>44</v>
      </c>
      <c r="C20" s="8" t="n">
        <v>1</v>
      </c>
      <c r="D20" s="8" t="n">
        <v>1</v>
      </c>
      <c r="E20" s="8" t="n">
        <v>0</v>
      </c>
      <c r="F20" s="8" t="s">
        <v>62</v>
      </c>
      <c r="G20" s="8" t="s">
        <v>60</v>
      </c>
      <c r="H20" s="8" t="s">
        <v>213</v>
      </c>
      <c r="I20" s="8" t="s">
        <v>62</v>
      </c>
      <c r="J20" s="8" t="s">
        <v>246</v>
      </c>
      <c r="K20" s="8" t="s">
        <v>65</v>
      </c>
    </row>
    <row r="21" customFormat="false" ht="15" hidden="false" customHeight="false" outlineLevel="0" collapsed="false">
      <c r="A21" s="8" t="s">
        <v>247</v>
      </c>
      <c r="B21" s="8" t="n">
        <v>28</v>
      </c>
      <c r="C21" s="8" t="n">
        <v>3</v>
      </c>
      <c r="D21" s="8" t="n">
        <v>0</v>
      </c>
      <c r="E21" s="8" t="n">
        <v>3</v>
      </c>
      <c r="F21" s="8" t="s">
        <v>32</v>
      </c>
      <c r="G21" s="8" t="s">
        <v>218</v>
      </c>
      <c r="H21" s="8" t="s">
        <v>219</v>
      </c>
      <c r="I21" s="8" t="s">
        <v>62</v>
      </c>
      <c r="J21" s="8" t="s">
        <v>248</v>
      </c>
      <c r="K21" s="8" t="s">
        <v>65</v>
      </c>
    </row>
    <row r="22" customFormat="false" ht="15" hidden="false" customHeight="false" outlineLevel="0" collapsed="false">
      <c r="A22" s="8" t="s">
        <v>249</v>
      </c>
      <c r="B22" s="8" t="n">
        <v>47</v>
      </c>
      <c r="C22" s="8" t="n">
        <v>1</v>
      </c>
      <c r="D22" s="8" t="n">
        <v>1</v>
      </c>
      <c r="E22" s="8" t="n">
        <v>0</v>
      </c>
      <c r="F22" s="8" t="s">
        <v>62</v>
      </c>
      <c r="G22" s="8" t="s">
        <v>60</v>
      </c>
      <c r="H22" s="8" t="s">
        <v>213</v>
      </c>
      <c r="I22" s="8" t="s">
        <v>62</v>
      </c>
      <c r="J22" s="8" t="s">
        <v>250</v>
      </c>
      <c r="K22" s="8"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251</v>
      </c>
    </row>
    <row r="2" customFormat="false" ht="15" hidden="false" customHeight="false" outlineLevel="0" collapsed="false">
      <c r="A2" s="2"/>
    </row>
    <row r="3" customFormat="false" ht="15" hidden="false" customHeight="false" outlineLevel="0" collapsed="false">
      <c r="A3" s="4" t="s">
        <v>252</v>
      </c>
    </row>
    <row r="4" customFormat="false" ht="35.05" hidden="false" customHeight="false" outlineLevel="0" collapsed="false">
      <c r="A4" s="3" t="s">
        <v>253</v>
      </c>
    </row>
    <row r="5" customFormat="false" ht="23.85" hidden="false" customHeight="false" outlineLevel="0" collapsed="false">
      <c r="A5" s="3" t="s">
        <v>254</v>
      </c>
    </row>
    <row r="6" customFormat="false" ht="15" hidden="false" customHeight="false" outlineLevel="0" collapsed="false">
      <c r="A6" s="2"/>
    </row>
    <row r="7" customFormat="false" ht="15" hidden="false" customHeight="false" outlineLevel="0" collapsed="false">
      <c r="A7" s="4" t="s">
        <v>255</v>
      </c>
    </row>
    <row r="8" customFormat="false" ht="23.85" hidden="false" customHeight="false" outlineLevel="0" collapsed="false">
      <c r="A8" s="3" t="s">
        <v>256</v>
      </c>
    </row>
    <row r="9" customFormat="false" ht="35.05" hidden="false" customHeight="false" outlineLevel="0" collapsed="false">
      <c r="A9" s="3" t="s">
        <v>257</v>
      </c>
    </row>
    <row r="10" customFormat="false" ht="23.85" hidden="false" customHeight="false" outlineLevel="0" collapsed="false">
      <c r="A10" s="3" t="s">
        <v>258</v>
      </c>
    </row>
    <row r="11" customFormat="false" ht="15" hidden="false" customHeight="false" outlineLevel="0" collapsed="false">
      <c r="A11" s="2"/>
    </row>
    <row r="12" customFormat="false" ht="15" hidden="false" customHeight="false" outlineLevel="0" collapsed="false">
      <c r="A12" s="4" t="s">
        <v>259</v>
      </c>
    </row>
    <row r="13" customFormat="false" ht="23.85" hidden="false" customHeight="false" outlineLevel="0" collapsed="false">
      <c r="A13" s="3" t="s">
        <v>260</v>
      </c>
    </row>
    <row r="14" customFormat="false" ht="23.85" hidden="false" customHeight="false" outlineLevel="0" collapsed="false">
      <c r="A14" s="3" t="s">
        <v>261</v>
      </c>
    </row>
    <row r="15" customFormat="false" ht="23.85" hidden="false" customHeight="false" outlineLevel="0" collapsed="false">
      <c r="A15" s="3" t="s">
        <v>262</v>
      </c>
    </row>
    <row r="16" customFormat="false" ht="15" hidden="false" customHeight="false" outlineLevel="0" collapsed="false">
      <c r="A16" s="2"/>
    </row>
    <row r="17" customFormat="false" ht="15" hidden="false" customHeight="false" outlineLevel="0" collapsed="false">
      <c r="A17" s="23"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2026-10-02T18:14:01Z</dcterms:created>
  <dc:creator>openpyxl</dc:creator>
  <dc:description/>
  <dc:language>en-US</dc:language>
  <cp:lastModifiedBy/>
  <dcterms:modified xsi:type="dcterms:W3CDTF">2026-10-02T14:14:42Z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